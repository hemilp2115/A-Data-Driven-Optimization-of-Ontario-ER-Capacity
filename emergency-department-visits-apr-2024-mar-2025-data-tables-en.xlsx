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showInkAnnotation="0" codeName="ThisWorkbook" defaultThemeVersion="124226"/>
  <xr:revisionPtr revIDLastSave="0" documentId="13_ncr:1_{6C7614BB-820D-4593-B9C8-23FE40A0F479}" xr6:coauthVersionLast="47" xr6:coauthVersionMax="47" xr10:uidLastSave="{00000000-0000-0000-0000-000000000000}"/>
  <bookViews>
    <workbookView xWindow="-110" yWindow="-110" windowWidth="25820" windowHeight="15500" tabRatio="889" activeTab="4" xr2:uid="{00000000-000D-0000-FFFF-FFFF00000000}"/>
  </bookViews>
  <sheets>
    <sheet name="Instructions" sheetId="2" r:id="rId1"/>
    <sheet name="Table of contents" sheetId="3" r:id="rId2"/>
    <sheet name="Table 1" sheetId="37" r:id="rId3"/>
    <sheet name="Table 2" sheetId="32" r:id="rId4"/>
    <sheet name="Sheet1" sheetId="40" r:id="rId5"/>
    <sheet name="Table 3" sheetId="33" r:id="rId6"/>
    <sheet name="Methodology notes" sheetId="19" r:id="rId7"/>
    <sheet name="Contact information" sheetId="38" r:id="rId8"/>
  </sheets>
  <definedNames>
    <definedName name="_xlnm._FilterDatabase" localSheetId="3" hidden="1">'Table 2'!$A$2:$I$362</definedName>
    <definedName name="Title_Table1..K12">'Table 1'!$A$2</definedName>
    <definedName name="Title_Table2..H362">'Table 2'!$A$2</definedName>
    <definedName name="Title_Table3..E12">'Table 3'!$A$2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40" l="1"/>
</calcChain>
</file>

<file path=xl/sharedStrings.xml><?xml version="1.0" encoding="utf-8"?>
<sst xmlns="http://schemas.openxmlformats.org/spreadsheetml/2006/main" count="664" uniqueCount="122">
  <si>
    <t>Ont.</t>
  </si>
  <si>
    <t>Alta.</t>
  </si>
  <si>
    <t>Y.T.</t>
  </si>
  <si>
    <t>Total</t>
  </si>
  <si>
    <t>Notes</t>
  </si>
  <si>
    <t>* The province/territory where the hospital is located.</t>
  </si>
  <si>
    <t>Source</t>
  </si>
  <si>
    <t>Coverage</t>
  </si>
  <si>
    <t>§ Admitted cases include patients who were admitted to the reporting facility and do not include patients who were transferred to another facility.</t>
  </si>
  <si>
    <t>Table of contents</t>
  </si>
  <si>
    <t xml:space="preserve">Additional resources </t>
  </si>
  <si>
    <t>Talk to us</t>
  </si>
  <si>
    <r>
      <rPr>
        <sz val="11"/>
        <rFont val="Arial"/>
        <family val="2"/>
      </rPr>
      <t xml:space="preserve">The following companion products are available on </t>
    </r>
    <r>
      <rPr>
        <u/>
        <sz val="11"/>
        <color rgb="FF0070C0"/>
        <rFont val="Arial"/>
        <family val="2"/>
      </rPr>
      <t>CIHI’s website</t>
    </r>
    <r>
      <rPr>
        <sz val="11"/>
        <color rgb="FF0070C0"/>
        <rFont val="Arial"/>
        <family val="2"/>
      </rPr>
      <t>:</t>
    </r>
  </si>
  <si>
    <t xml:space="preserve">Province/territory* </t>
  </si>
  <si>
    <t>Social media:</t>
  </si>
  <si>
    <t>How to cite this document</t>
  </si>
  <si>
    <t>End of worksheet</t>
  </si>
  <si>
    <t>Sex</t>
  </si>
  <si>
    <t>Female</t>
  </si>
  <si>
    <t>Male</t>
  </si>
  <si>
    <t>Province/territory*</t>
  </si>
  <si>
    <t>Main problem</t>
  </si>
  <si>
    <t>ED LOS (90% spent less, in hours)</t>
  </si>
  <si>
    <t>Non-admitted (%)</t>
  </si>
  <si>
    <r>
      <t>Admitted</t>
    </r>
    <r>
      <rPr>
        <b/>
        <vertAlign val="superscript"/>
        <sz val="11"/>
        <color theme="0"/>
        <rFont val="Arial"/>
        <family val="2"/>
      </rPr>
      <t>†</t>
    </r>
    <r>
      <rPr>
        <b/>
        <sz val="11"/>
        <color theme="0"/>
        <rFont val="Arial"/>
        <family val="2"/>
      </rPr>
      <t xml:space="preserve"> (%)</t>
    </r>
  </si>
  <si>
    <t>† Admitted cases include patients who were admitted to the reporting facility and do not include patients who were transferred to another facility.</t>
  </si>
  <si>
    <t>All</t>
  </si>
  <si>
    <t>Que.</t>
  </si>
  <si>
    <t>P.E.I.**</t>
  </si>
  <si>
    <t>N.S.**</t>
  </si>
  <si>
    <t>Man.**</t>
  </si>
  <si>
    <t>Sask.**</t>
  </si>
  <si>
    <t>B.C.**</t>
  </si>
  <si>
    <t>Month</t>
  </si>
  <si>
    <t>Records with invalid length of stay and/or unknown triage level are included in the total number of ED visits.</t>
  </si>
  <si>
    <t>Records where sex is categorized as "other" are included in the "all" sex counts, and records where birthdate is unknown are included in the "all" age counts.</t>
  </si>
  <si>
    <t>• NACRS Emergency Department Visits: Volumes and Median Lengths of Stay Metadata</t>
  </si>
  <si>
    <t>CIHI on Facebook</t>
  </si>
  <si>
    <t>CIHI on LinkedIn</t>
  </si>
  <si>
    <t>CIHI on Instagram</t>
  </si>
  <si>
    <t>CIHI on YouTube</t>
  </si>
  <si>
    <t>† CTAS levels I–III (discharged) cases include patients with a triage level of resuscitation, emergent or urgent and a visit disposition of discharged home; they exclude patients who were transferred to another facility and those who died.</t>
  </si>
  <si>
    <t>‡ CTAS levels IV–V (discharged) cases include patients with a triage level of less urgent or non-urgent and a visit disposition of discharged home; they exclude patients who were transferred to another facility and those who died.</t>
  </si>
  <si>
    <t>Number of ED visits</t>
  </si>
  <si>
    <t>* Emergency department visits without a main problem diagnosis are excluded from this analysis.</t>
  </si>
  <si>
    <t>CIHI on X</t>
  </si>
  <si>
    <t>L03</t>
  </si>
  <si>
    <t>Column1</t>
  </si>
  <si>
    <t>J06</t>
  </si>
  <si>
    <t>cad@cihi.ca</t>
  </si>
  <si>
    <t>media@cihi.ca</t>
  </si>
  <si>
    <t>Methodology notes</t>
  </si>
  <si>
    <t>Contact information</t>
  </si>
  <si>
    <t>ED volumes: Total</t>
  </si>
  <si>
    <r>
      <t xml:space="preserve">End of worksheet (back to </t>
    </r>
    <r>
      <rPr>
        <u/>
        <sz val="9"/>
        <color rgb="FF0070C0"/>
        <rFont val="Arial"/>
        <family val="2"/>
      </rPr>
      <t>Table of contents</t>
    </r>
    <r>
      <rPr>
        <sz val="9"/>
        <rFont val="Arial"/>
        <family val="2"/>
      </rPr>
      <t>)</t>
    </r>
  </si>
  <si>
    <t>April 2024</t>
  </si>
  <si>
    <t>May 2024</t>
  </si>
  <si>
    <t>June 2024</t>
  </si>
  <si>
    <t>July 2024</t>
  </si>
  <si>
    <t>August 2024</t>
  </si>
  <si>
    <t>September 2024</t>
  </si>
  <si>
    <t>October 2024</t>
  </si>
  <si>
    <t>November 2024</t>
  </si>
  <si>
    <t>December 2024</t>
  </si>
  <si>
    <t>January 2025</t>
  </si>
  <si>
    <t>February 2025</t>
  </si>
  <si>
    <t>March 2025</t>
  </si>
  <si>
    <t>For data-specific information:</t>
  </si>
  <si>
    <t>For media inquiries:</t>
  </si>
  <si>
    <r>
      <t xml:space="preserve">End of workbook (back to </t>
    </r>
    <r>
      <rPr>
        <u/>
        <sz val="9"/>
        <color rgb="FF0070C0"/>
        <rFont val="Arial"/>
        <family val="2"/>
      </rPr>
      <t>Table of contents</t>
    </r>
    <r>
      <rPr>
        <sz val="9"/>
        <rFont val="Arial"/>
        <family val="2"/>
      </rPr>
      <t>)</t>
    </r>
  </si>
  <si>
    <t>Age group (years): 0–4</t>
  </si>
  <si>
    <t>Age group (years): 5–19</t>
  </si>
  <si>
    <t>Age group (years): 20–64</t>
  </si>
  <si>
    <t>Age group (years): 65+</t>
  </si>
  <si>
    <t>Age group (years): All</t>
  </si>
  <si>
    <t>This workbook has 7 worksheets, including this Instructions page, a table of contents on tab 2 and 3 data table worksheets beginning on tab 3. Notes and sources can be found after the table in column A. Methodology notes can be found on tab 6. Contact information can be found on tab 7.</t>
  </si>
  <si>
    <r>
      <t xml:space="preserve">End of worksheet (go to </t>
    </r>
    <r>
      <rPr>
        <u/>
        <sz val="9"/>
        <color rgb="FF0070C0"/>
        <rFont val="Arial"/>
        <family val="2"/>
      </rPr>
      <t>Table of contents</t>
    </r>
    <r>
      <rPr>
        <sz val="9"/>
        <rFont val="Arial"/>
        <family val="2"/>
      </rPr>
      <t>)</t>
    </r>
  </si>
  <si>
    <t>NACRS Emergency Department Visits and Lengths of Stay by Province/Territory, 2024–2025 (Q1 to Q4)</t>
  </si>
  <si>
    <t xml:space="preserve">Unless otherwise indicated, this product uses data provided by provinces and territories in Canada. </t>
  </si>
  <si>
    <t xml:space="preserve">• NACRS Emergency Department Visits and Lengths of Stay by Province/Territory, 2023–2024 (Q1 to Q4) 
</t>
  </si>
  <si>
    <t>Table 1  Number of ED visits and length of stay by Canadian Triage and Acuity Scale (CTAS) levels and admitted cases, participating provinces/territories, NACRS, April 2024 to March 2025</t>
  </si>
  <si>
    <t>Table 2  Number of ED visits by month, age and sex, participating provinces/territories, NACRS, April 2024 to March 2025</t>
  </si>
  <si>
    <t>Table 3  Top 10 main problems* — Number of ED visits, length of stay (LOS) and percentage of admitted and 
non-admitted cases in the ED, NACRS, April 2024 to March 2025</t>
  </si>
  <si>
    <t>These cases represent ED visits from April 1, 2024, to March 31, 2025. These final results replace the previous release of 2024–2025 provisional data. 
These data tables include ED data submitted to NACRS from the following provinces and territories: Prince Edward Island, Nova Scotia, Quebec, Ontario, Manitoba, Saskatchewan, Alberta, British Columbia and the Yukon. Note that not all facilities in P.E.I., Nova Scotia, Manitoba, Saskatchewan and B.C. are captured in NACRS. Please see the notes at the bottom of Table 1 for more information on NACRS ED data coverage.</t>
  </si>
  <si>
    <t xml:space="preserve">August 2025
Canadian Institute for Health Information </t>
  </si>
  <si>
    <r>
      <rPr>
        <b/>
        <sz val="12"/>
        <rFont val="Arial"/>
        <family val="2"/>
      </rPr>
      <t xml:space="preserve">Table 1  </t>
    </r>
    <r>
      <rPr>
        <sz val="12"/>
        <rFont val="Arial"/>
        <family val="2"/>
      </rPr>
      <t>Number of ED visits and</t>
    </r>
    <r>
      <rPr>
        <b/>
        <sz val="12"/>
        <rFont val="Arial"/>
        <family val="2"/>
      </rPr>
      <t xml:space="preserve"> </t>
    </r>
    <r>
      <rPr>
        <sz val="12"/>
        <rFont val="Arial"/>
        <family val="2"/>
      </rPr>
      <t>length of stay by Canadian Triage and Acuity Scale (CTAS) levels and admitted cases, participating provinces/territories, NACRS, April 2024 to March 2025</t>
    </r>
  </si>
  <si>
    <t>** Information presented here includes only facilities that submitted data to NACRS in 2024–2025 at the time of data extract. Results comparing jurisdictions should be interpreted with caution.</t>
  </si>
  <si>
    <t>National Ambulatory Care Reporting System, 2024–2025, Canadian Institute for Health Information.</t>
  </si>
  <si>
    <r>
      <t>ED volumes: Admitted</t>
    </r>
    <r>
      <rPr>
        <b/>
        <vertAlign val="superscript"/>
        <sz val="11"/>
        <color theme="0"/>
        <rFont val="Arial"/>
        <family val="2"/>
      </rPr>
      <t>§</t>
    </r>
  </si>
  <si>
    <r>
      <t>Median 
(50% spent less, in hours): CTAS levels I–III (discharged)</t>
    </r>
    <r>
      <rPr>
        <b/>
        <vertAlign val="superscript"/>
        <sz val="11"/>
        <color theme="0"/>
        <rFont val="Arial"/>
        <family val="2"/>
      </rPr>
      <t>†</t>
    </r>
  </si>
  <si>
    <r>
      <t>Median 
(50% spent less, in hours): CTAS levels IV–V (discharged)</t>
    </r>
    <r>
      <rPr>
        <b/>
        <vertAlign val="superscript"/>
        <sz val="11"/>
        <color theme="0"/>
        <rFont val="Arial"/>
        <family val="2"/>
      </rPr>
      <t>‡</t>
    </r>
  </si>
  <si>
    <r>
      <t>Median 
(50% spent less, in hours): Admitted</t>
    </r>
    <r>
      <rPr>
        <b/>
        <vertAlign val="superscript"/>
        <sz val="11"/>
        <color theme="0"/>
        <rFont val="Arial"/>
        <family val="2"/>
      </rPr>
      <t>§</t>
    </r>
  </si>
  <si>
    <r>
      <rPr>
        <b/>
        <sz val="12"/>
        <rFont val="Arial"/>
        <family val="2"/>
      </rPr>
      <t xml:space="preserve">Table 2  </t>
    </r>
    <r>
      <rPr>
        <sz val="12"/>
        <rFont val="Arial"/>
        <family val="2"/>
      </rPr>
      <t>Number of ED visits by month, age and sex, participating provinces/territories, NACRS, April 2024 to March 2025</t>
    </r>
  </si>
  <si>
    <r>
      <rPr>
        <b/>
        <sz val="12"/>
        <rFont val="Arial"/>
        <family val="2"/>
      </rPr>
      <t xml:space="preserve">Table 3  </t>
    </r>
    <r>
      <rPr>
        <sz val="12"/>
        <rFont val="Arial"/>
        <family val="2"/>
      </rPr>
      <t>Top 10 main problems* — Number of ED visits, length of stay (LOS) and percentage of admitted and non-admitted cases in the ED, NACRS, April 2024 to March 2025</t>
    </r>
  </si>
  <si>
    <r>
      <rPr>
        <b/>
        <sz val="14"/>
        <rFont val="Arial"/>
        <family val="2"/>
      </rPr>
      <t>Instructions</t>
    </r>
    <r>
      <rPr>
        <sz val="10"/>
        <rFont val="Arial"/>
        <family val="2"/>
      </rPr>
      <t xml:space="preserve">
The following Unicode symbols are used in this workbook (these symbols may need to be enabled if using screen reading software):
asterisk (*)
dagger (†)
double dagger (‡)
section sign (§)</t>
    </r>
  </si>
  <si>
    <t>1) Abdominal and pelvic pain</t>
  </si>
  <si>
    <t>2) Pain in throat and chest</t>
  </si>
  <si>
    <t>3) Pneumonia, organism unspecified</t>
  </si>
  <si>
    <t>6) Other disorders of urinary system</t>
  </si>
  <si>
    <t>7) Open wound of wrist and hand</t>
  </si>
  <si>
    <t>8) Cellulitis</t>
  </si>
  <si>
    <t>9) Other medical care</t>
  </si>
  <si>
    <t>10) Open wound of head</t>
  </si>
  <si>
    <t>5) Acute upper respiratory infections of multiple and unspecified sites</t>
  </si>
  <si>
    <t>4) Dorsalgia (back pain)</t>
  </si>
  <si>
    <t>In 2024–2025, NACRS included all EDs in Quebec, Ontario, Alberta and the Yukon, 2 in P.E.I., 8 in Nova Scotia, 16 in Manitoba, 61 in Saskatchewan and 30 in B.C.</t>
  </si>
  <si>
    <t>NACRS abstracts that contain Main/Other Problem and are reported in this table include all (&gt;95%) in Ontario, Saskatchewan, Alberta and the Yukon, as well as some in P.E.I. and Nova Scotia. In 2024–2025, the percentages of records including Main/Other Problem were as follows: 73% of ED visits in P.E.I. and 22% of ED visits in Nova Scotia.</t>
  </si>
  <si>
    <t>Estimated ED coverage for 2024–2025 by participating jurisdiction is as follows: complete coverage (&gt;95%) in Quebec, Ontario, Saskatchewan, Alberta and the Yukon; 73% of ED visits in Prince Edward Island; 57% of ED visits in Nova Scotia; 75% of ED visits in Manitoba; 76% of ED visits in British Columbia and 89% of ED visits in Canada.</t>
  </si>
  <si>
    <t>• NACRS Emergency Department Visits: Volumes and Median Lengths of Stay, 2003–2004 to 2021–2022  — Supplementary Statistics</t>
  </si>
  <si>
    <t xml:space="preserve">Release of 2024–2025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</si>
  <si>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r>
      <t>ED volumes: 
CTAS levels I–III (discharged)</t>
    </r>
    <r>
      <rPr>
        <b/>
        <vertAlign val="superscript"/>
        <sz val="11"/>
        <color theme="0"/>
        <rFont val="Arial"/>
        <family val="2"/>
      </rPr>
      <t>†</t>
    </r>
  </si>
  <si>
    <r>
      <t>ED volumes: 
CTAS levels IV–V (discharged)</t>
    </r>
    <r>
      <rPr>
        <b/>
        <vertAlign val="superscript"/>
        <sz val="11"/>
        <color theme="0"/>
        <rFont val="Arial"/>
        <family val="2"/>
      </rPr>
      <t>‡</t>
    </r>
  </si>
  <si>
    <r>
      <t>90th percentile 
(90% spent less, in hours): CTAS levels I–III (discharged)</t>
    </r>
    <r>
      <rPr>
        <b/>
        <vertAlign val="superscript"/>
        <sz val="11"/>
        <color theme="0"/>
        <rFont val="Arial"/>
        <family val="2"/>
      </rPr>
      <t>†</t>
    </r>
  </si>
  <si>
    <r>
      <t>90th percentile 
(90% spent less, in hours): CTAS levels IV–V (discharged)</t>
    </r>
    <r>
      <rPr>
        <b/>
        <vertAlign val="superscript"/>
        <sz val="11"/>
        <color theme="0"/>
        <rFont val="Arial"/>
        <family val="2"/>
      </rPr>
      <t>‡</t>
    </r>
  </si>
  <si>
    <r>
      <t>90th percentile 
(90% spent less, in hours): Admitted</t>
    </r>
    <r>
      <rPr>
        <b/>
        <vertAlign val="superscript"/>
        <sz val="11"/>
        <color theme="0"/>
        <rFont val="Arial"/>
        <family val="2"/>
      </rPr>
      <t>§</t>
    </r>
  </si>
  <si>
    <r>
      <t>P.E.I.</t>
    </r>
    <r>
      <rPr>
        <b/>
        <vertAlign val="superscript"/>
        <sz val="11"/>
        <rFont val="Arial"/>
        <family val="2"/>
      </rPr>
      <t>†</t>
    </r>
  </si>
  <si>
    <r>
      <t>N.S.</t>
    </r>
    <r>
      <rPr>
        <b/>
        <vertAlign val="superscript"/>
        <sz val="11"/>
        <rFont val="Arial"/>
        <family val="2"/>
      </rPr>
      <t>†</t>
    </r>
  </si>
  <si>
    <r>
      <t>Man.</t>
    </r>
    <r>
      <rPr>
        <b/>
        <vertAlign val="superscript"/>
        <sz val="11"/>
        <rFont val="Arial"/>
        <family val="2"/>
      </rPr>
      <t>†</t>
    </r>
  </si>
  <si>
    <r>
      <t>Sask.</t>
    </r>
    <r>
      <rPr>
        <b/>
        <vertAlign val="superscript"/>
        <sz val="11"/>
        <rFont val="Arial"/>
        <family val="2"/>
      </rPr>
      <t>†</t>
    </r>
  </si>
  <si>
    <r>
      <t>B.C.</t>
    </r>
    <r>
      <rPr>
        <b/>
        <vertAlign val="superscript"/>
        <sz val="11"/>
        <rFont val="Arial"/>
        <family val="2"/>
      </rPr>
      <t>†</t>
    </r>
  </si>
  <si>
    <t>† Information presented here includes only facilities that submitted data to NACRS in 2024–2025 at the time of data extract. Results comparing jurisdictions should be interpreted with caution.</t>
  </si>
  <si>
    <r>
      <t xml:space="preserve">Canadian Institute for Health Information. </t>
    </r>
    <r>
      <rPr>
        <i/>
        <sz val="11"/>
        <rFont val="Arial"/>
        <family val="2"/>
      </rPr>
      <t>NACRS Emergency Department Visits and Lengths of Stay by Province/Territory, 2024–2025 (Q1 to Q4)</t>
    </r>
    <r>
      <rPr>
        <sz val="11"/>
        <rFont val="Arial"/>
        <family val="2"/>
      </rPr>
      <t>. Ottawa, ON: CIHI; November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</si>
</sst>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47"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24"/>
      <color theme="1"/>
      <name val="Arial"/>
      <family val="2"/>
    </font>
    <font>
      <sz val="11"/>
      <color theme="1"/>
      <name val="Arial"/>
      <family val="2"/>
    </font>
    <font>
      <sz val="11"/>
      <color rgb="FFFF0000"/>
      <name val="Arial"/>
      <family val="2"/>
    </font>
    <font>
      <sz val="11"/>
      <name val="Arial"/>
      <family val="2"/>
    </font>
    <font>
      <b/>
      <sz val="11"/>
      <color theme="0"/>
      <name val="Arial"/>
      <family val="2"/>
    </font>
    <font>
      <sz val="11"/>
      <color theme="0"/>
      <name val="Arial"/>
      <family val="2"/>
    </font>
    <font>
      <sz val="9"/>
      <name val="Arial"/>
      <family val="2"/>
    </font>
    <font>
      <sz val="10"/>
      <name val="Arial"/>
      <family val="2"/>
    </font>
    <font>
      <b/>
      <sz val="9"/>
      <name val="Arial"/>
      <family val="2"/>
    </font>
    <font>
      <b/>
      <sz val="12"/>
      <name val="Arial"/>
      <family val="2"/>
    </font>
    <font>
      <sz val="12"/>
      <name val="Arial"/>
      <family val="2"/>
    </font>
    <font>
      <sz val="11"/>
      <color rgb="FF000000"/>
      <name val="Arial"/>
      <family val="2"/>
    </font>
    <font>
      <u/>
      <sz val="11"/>
      <color rgb="FF0070C0"/>
      <name val="Arial"/>
      <family val="2"/>
    </font>
    <font>
      <sz val="11"/>
      <color rgb="FF0070C0"/>
      <name val="Arial"/>
      <family val="2"/>
    </font>
    <font>
      <sz val="12"/>
      <color theme="1"/>
      <name val="Arial"/>
      <family val="2"/>
    </font>
    <font>
      <u/>
      <sz val="11"/>
      <color rgb="FF852062"/>
      <name val="Arial"/>
      <family val="2"/>
    </font>
    <font>
      <sz val="30"/>
      <name val="Calibri"/>
      <family val="2"/>
    </font>
    <font>
      <sz val="24"/>
      <name val="Calibri"/>
      <family val="2"/>
    </font>
    <font>
      <b/>
      <sz val="18"/>
      <name val="Calibri"/>
      <family val="2"/>
    </font>
    <font>
      <b/>
      <sz val="15"/>
      <name val="Calibri"/>
      <family val="2"/>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vertAlign val="superscript"/>
      <sz val="11"/>
      <color theme="0"/>
      <name val="Arial"/>
      <family val="2"/>
    </font>
    <font>
      <i/>
      <sz val="11"/>
      <name val="Arial"/>
      <family val="2"/>
    </font>
    <font>
      <sz val="10"/>
      <color theme="1"/>
      <name val="Arial"/>
      <family val="2"/>
    </font>
    <font>
      <sz val="8"/>
      <name val="Arial"/>
      <family val="2"/>
    </font>
    <font>
      <sz val="12"/>
      <color rgb="FFFF0000"/>
      <name val="Arial"/>
      <family val="2"/>
    </font>
    <font>
      <u/>
      <sz val="9"/>
      <color rgb="FF0070C0"/>
      <name val="Arial"/>
      <family val="2"/>
    </font>
    <font>
      <sz val="9"/>
      <color rgb="FFFF0000"/>
      <name val="Arial"/>
      <family val="2"/>
    </font>
    <font>
      <b/>
      <sz val="14"/>
      <name val="Arial"/>
      <family val="2"/>
    </font>
    <font>
      <b/>
      <vertAlign val="superscript"/>
      <sz val="11"/>
      <name val="Arial"/>
      <family val="2"/>
    </font>
  </fonts>
  <fills count="38">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indexed="64"/>
      </top>
      <bottom style="thin">
        <color auto="1"/>
      </bottom>
      <diagonal/>
    </border>
    <border>
      <left style="thin">
        <color theme="0"/>
      </left>
      <right/>
      <top style="thin">
        <color indexed="64"/>
      </top>
      <bottom style="thin">
        <color auto="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s>
  <cellStyleXfs count="67">
    <xf numFmtId="0" fontId="0" fillId="0" borderId="0"/>
    <xf numFmtId="49" fontId="17" fillId="0" borderId="0" applyFill="0" applyBorder="0" applyAlignment="0" applyProtection="0"/>
    <xf numFmtId="43" fontId="6" fillId="0" borderId="0" applyFont="0" applyFill="0" applyBorder="0" applyAlignment="0" applyProtection="0"/>
    <xf numFmtId="0" fontId="21" fillId="0" borderId="0" applyNumberFormat="0" applyFill="0" applyProtection="0">
      <alignment horizontal="left" vertical="top"/>
    </xf>
    <xf numFmtId="0" fontId="22" fillId="0" borderId="0" applyNumberFormat="0" applyProtection="0">
      <alignment horizontal="left" vertical="top"/>
    </xf>
    <xf numFmtId="0" fontId="23" fillId="0" borderId="0" applyNumberFormat="0" applyProtection="0">
      <alignment horizontal="left" vertical="top"/>
    </xf>
    <xf numFmtId="0" fontId="24" fillId="0" borderId="0" applyNumberFormat="0" applyProtection="0">
      <alignment horizontal="left" vertical="top"/>
    </xf>
    <xf numFmtId="0" fontId="8" fillId="0" borderId="0" applyNumberFormat="0" applyProtection="0">
      <alignment horizontal="left" vertical="top" wrapText="1"/>
    </xf>
    <xf numFmtId="0" fontId="19" fillId="0" borderId="0" applyNumberFormat="0" applyFill="0" applyProtection="0">
      <alignment horizontal="left" vertical="top"/>
    </xf>
    <xf numFmtId="0" fontId="9" fillId="3" borderId="3" applyNumberFormat="0" applyProtection="0">
      <alignment horizontal="left" vertical="top"/>
    </xf>
    <xf numFmtId="0" fontId="11" fillId="0" borderId="0" applyNumberFormat="0" applyProtection="0">
      <alignment horizontal="left" vertical="top"/>
    </xf>
    <xf numFmtId="0" fontId="4" fillId="4" borderId="2" applyNumberFormat="0" applyProtection="0">
      <alignment horizontal="left" vertical="top"/>
    </xf>
    <xf numFmtId="0" fontId="19" fillId="0" borderId="0" applyNumberFormat="0" applyProtection="0">
      <alignment horizontal="left" vertical="top"/>
    </xf>
    <xf numFmtId="9" fontId="6" fillId="0" borderId="0" applyFont="0" applyFill="0" applyBorder="0" applyAlignment="0" applyProtection="0"/>
    <xf numFmtId="0" fontId="20" fillId="0" borderId="0" applyNumberFormat="0" applyFill="0" applyBorder="0" applyAlignment="0" applyProtection="0"/>
    <xf numFmtId="41"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4" applyNumberFormat="0" applyAlignment="0" applyProtection="0"/>
    <xf numFmtId="0" fontId="30" fillId="9" borderId="5" applyNumberFormat="0" applyAlignment="0" applyProtection="0"/>
    <xf numFmtId="0" fontId="31" fillId="9" borderId="4" applyNumberFormat="0" applyAlignment="0" applyProtection="0"/>
    <xf numFmtId="0" fontId="32" fillId="0" borderId="6" applyNumberFormat="0" applyFill="0" applyAlignment="0" applyProtection="0"/>
    <xf numFmtId="0" fontId="33" fillId="10" borderId="7" applyNumberFormat="0" applyAlignment="0" applyProtection="0"/>
    <xf numFmtId="0" fontId="34" fillId="0" borderId="0" applyNumberFormat="0" applyFill="0" applyBorder="0" applyAlignment="0" applyProtection="0"/>
    <xf numFmtId="0" fontId="6" fillId="11" borderId="8" applyNumberFormat="0" applyFont="0" applyAlignment="0" applyProtection="0"/>
    <xf numFmtId="0" fontId="35" fillId="0" borderId="0" applyNumberFormat="0" applyFill="0" applyBorder="0" applyAlignment="0" applyProtection="0"/>
    <xf numFmtId="0" fontId="36" fillId="0" borderId="9" applyNumberFormat="0" applyFill="0" applyAlignment="0" applyProtection="0"/>
    <xf numFmtId="0" fontId="37"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7" fillId="35" borderId="0" applyNumberFormat="0" applyBorder="0" applyAlignment="0" applyProtection="0"/>
    <xf numFmtId="0" fontId="12" fillId="0" borderId="0"/>
    <xf numFmtId="0" fontId="2" fillId="0" borderId="0"/>
    <xf numFmtId="49" fontId="17" fillId="0" borderId="0" applyFill="0" applyBorder="0" applyAlignment="0" applyProtection="0"/>
    <xf numFmtId="0" fontId="1" fillId="0" borderId="0"/>
    <xf numFmtId="0" fontId="6" fillId="0" borderId="0"/>
    <xf numFmtId="0" fontId="21" fillId="0" borderId="0" applyNumberFormat="0" applyFill="0" applyProtection="0">
      <alignment horizontal="left" vertical="top"/>
    </xf>
    <xf numFmtId="0" fontId="22" fillId="0" borderId="0" applyNumberFormat="0" applyProtection="0">
      <alignment horizontal="left" vertical="top"/>
    </xf>
    <xf numFmtId="0" fontId="23" fillId="0" borderId="0" applyNumberFormat="0" applyProtection="0">
      <alignment horizontal="left" vertical="top"/>
    </xf>
    <xf numFmtId="0" fontId="24" fillId="0" borderId="0" applyNumberFormat="0" applyProtection="0">
      <alignment horizontal="left" vertical="top"/>
    </xf>
    <xf numFmtId="0" fontId="20" fillId="0" borderId="0" applyNumberFormat="0" applyFill="0" applyBorder="0" applyAlignment="0" applyProtection="0"/>
    <xf numFmtId="49" fontId="17" fillId="0" borderId="0" applyFill="0" applyBorder="0" applyAlignment="0" applyProtection="0"/>
    <xf numFmtId="0" fontId="1" fillId="0" borderId="0"/>
  </cellStyleXfs>
  <cellXfs count="92">
    <xf numFmtId="0" fontId="0" fillId="0" borderId="0" xfId="0"/>
    <xf numFmtId="0" fontId="8" fillId="0" borderId="0" xfId="0" applyFont="1" applyAlignment="1">
      <alignment vertical="top" wrapText="1"/>
    </xf>
    <xf numFmtId="0" fontId="0" fillId="0" borderId="0" xfId="0" applyAlignment="1">
      <alignment vertical="top"/>
    </xf>
    <xf numFmtId="49" fontId="17" fillId="0" borderId="0" xfId="1" applyAlignment="1">
      <alignment vertical="top"/>
    </xf>
    <xf numFmtId="0" fontId="13" fillId="0" borderId="0" xfId="0" applyFont="1" applyAlignment="1">
      <alignment horizontal="left"/>
    </xf>
    <xf numFmtId="0" fontId="8" fillId="0" borderId="0" xfId="0" applyFont="1"/>
    <xf numFmtId="0" fontId="8" fillId="0" borderId="0" xfId="0" applyFont="1" applyAlignment="1">
      <alignment horizontal="center"/>
    </xf>
    <xf numFmtId="0" fontId="5" fillId="0" borderId="0" xfId="0" applyFont="1" applyAlignment="1">
      <alignment vertical="top"/>
    </xf>
    <xf numFmtId="0" fontId="5" fillId="0" borderId="0" xfId="0" applyFont="1"/>
    <xf numFmtId="0" fontId="21" fillId="0" borderId="0" xfId="3" applyAlignment="1">
      <alignment horizontal="left" vertical="top" wrapText="1"/>
    </xf>
    <xf numFmtId="0" fontId="22" fillId="0" borderId="0" xfId="4" applyAlignment="1">
      <alignment horizontal="left" vertical="top" wrapText="1"/>
    </xf>
    <xf numFmtId="0" fontId="15" fillId="0" borderId="0" xfId="0" applyFont="1" applyAlignment="1">
      <alignment vertical="top"/>
    </xf>
    <xf numFmtId="49" fontId="17" fillId="0" borderId="0" xfId="1" applyFill="1" applyAlignment="1">
      <alignment vertical="top"/>
    </xf>
    <xf numFmtId="0" fontId="9" fillId="3" borderId="10" xfId="9" applyBorder="1" applyAlignment="1">
      <alignment horizontal="left" wrapText="1"/>
    </xf>
    <xf numFmtId="3" fontId="8" fillId="0" borderId="0" xfId="0" applyNumberFormat="1" applyFont="1" applyAlignment="1">
      <alignment horizontal="right"/>
    </xf>
    <xf numFmtId="164" fontId="8" fillId="0" borderId="0" xfId="0" applyNumberFormat="1" applyFont="1" applyAlignment="1">
      <alignment horizontal="right"/>
    </xf>
    <xf numFmtId="0" fontId="8" fillId="0" borderId="0" xfId="0" applyFont="1" applyAlignment="1">
      <alignment horizontal="left" vertical="top"/>
    </xf>
    <xf numFmtId="0" fontId="9" fillId="3" borderId="10" xfId="9" applyBorder="1" applyAlignment="1">
      <alignment horizontal="center" wrapText="1"/>
    </xf>
    <xf numFmtId="0" fontId="9" fillId="3" borderId="14" xfId="9" applyBorder="1" applyAlignment="1">
      <alignment horizontal="center" wrapText="1"/>
    </xf>
    <xf numFmtId="0" fontId="40" fillId="0" borderId="0" xfId="0" applyFont="1"/>
    <xf numFmtId="0" fontId="40" fillId="0" borderId="0" xfId="0" applyFont="1" applyAlignment="1">
      <alignment vertical="top"/>
    </xf>
    <xf numFmtId="164" fontId="8" fillId="0" borderId="1" xfId="0" applyNumberFormat="1" applyFont="1" applyBorder="1" applyAlignment="1">
      <alignment vertical="top"/>
    </xf>
    <xf numFmtId="164" fontId="8" fillId="0" borderId="13" xfId="0" applyNumberFormat="1" applyFont="1" applyBorder="1" applyAlignment="1">
      <alignment vertical="top"/>
    </xf>
    <xf numFmtId="164" fontId="8" fillId="0" borderId="11" xfId="0" applyNumberFormat="1" applyFont="1" applyBorder="1" applyAlignment="1">
      <alignment vertical="top"/>
    </xf>
    <xf numFmtId="0" fontId="9" fillId="3" borderId="3" xfId="9" applyAlignment="1">
      <alignment horizontal="center" wrapText="1"/>
    </xf>
    <xf numFmtId="164" fontId="7" fillId="0" borderId="1" xfId="0" applyNumberFormat="1" applyFont="1" applyBorder="1" applyAlignment="1">
      <alignment vertical="top"/>
    </xf>
    <xf numFmtId="0" fontId="8" fillId="0" borderId="0" xfId="0" applyFont="1" applyAlignment="1">
      <alignment vertical="top"/>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vertical="top"/>
    </xf>
    <xf numFmtId="0" fontId="13" fillId="0" borderId="0" xfId="0" applyFont="1" applyAlignment="1">
      <alignment horizontal="left" vertical="top"/>
    </xf>
    <xf numFmtId="0" fontId="18" fillId="0" borderId="0" xfId="0" applyFont="1"/>
    <xf numFmtId="49" fontId="11" fillId="0" borderId="0" xfId="7" applyNumberFormat="1" applyFont="1" applyAlignment="1">
      <alignment horizontal="left" wrapText="1"/>
    </xf>
    <xf numFmtId="0" fontId="44" fillId="0" borderId="0" xfId="0" applyFont="1" applyAlignment="1">
      <alignment horizontal="left" vertical="top"/>
    </xf>
    <xf numFmtId="0" fontId="44" fillId="0" borderId="0" xfId="0" applyFont="1" applyAlignment="1">
      <alignment vertical="top"/>
    </xf>
    <xf numFmtId="0" fontId="42" fillId="0" borderId="0" xfId="0" applyFont="1" applyAlignment="1">
      <alignment vertical="top"/>
    </xf>
    <xf numFmtId="0" fontId="4" fillId="0" borderId="17" xfId="0" applyFont="1" applyBorder="1" applyAlignment="1">
      <alignment horizontal="left" vertical="top" wrapText="1"/>
    </xf>
    <xf numFmtId="0" fontId="8" fillId="0" borderId="0" xfId="0" applyFont="1" applyAlignment="1">
      <alignment horizontal="center" vertical="top"/>
    </xf>
    <xf numFmtId="3" fontId="8" fillId="0" borderId="0" xfId="0" applyNumberFormat="1" applyFont="1" applyAlignment="1">
      <alignment horizontal="left" vertical="top"/>
    </xf>
    <xf numFmtId="164" fontId="8" fillId="0" borderId="0" xfId="0" applyNumberFormat="1" applyFont="1" applyAlignment="1">
      <alignment horizontal="left" vertical="top"/>
    </xf>
    <xf numFmtId="0" fontId="11" fillId="0" borderId="0" xfId="0" applyFont="1"/>
    <xf numFmtId="0" fontId="39" fillId="0" borderId="0" xfId="0" applyFont="1" applyAlignment="1">
      <alignment horizontal="left" vertical="top" wrapText="1"/>
    </xf>
    <xf numFmtId="49" fontId="11" fillId="2" borderId="0" xfId="1" applyFont="1" applyFill="1" applyAlignment="1">
      <alignment horizontal="left"/>
    </xf>
    <xf numFmtId="0" fontId="8" fillId="0" borderId="0" xfId="7">
      <alignment horizontal="left" vertical="top" wrapText="1"/>
    </xf>
    <xf numFmtId="0" fontId="8" fillId="0" borderId="0" xfId="0" applyFont="1" applyAlignment="1">
      <alignment vertical="center"/>
    </xf>
    <xf numFmtId="49" fontId="17" fillId="0" borderId="0" xfId="1" applyAlignment="1">
      <alignment vertical="center" wrapText="1"/>
    </xf>
    <xf numFmtId="0" fontId="22" fillId="0" borderId="0" xfId="4">
      <alignment horizontal="left" vertical="top"/>
    </xf>
    <xf numFmtId="49" fontId="17" fillId="0" borderId="0" xfId="1" applyBorder="1" applyAlignment="1">
      <alignment vertical="top"/>
    </xf>
    <xf numFmtId="0" fontId="17" fillId="0" borderId="0" xfId="0" applyFont="1" applyAlignment="1">
      <alignment vertical="top"/>
    </xf>
    <xf numFmtId="0" fontId="16" fillId="0" borderId="0" xfId="0" applyFont="1"/>
    <xf numFmtId="49" fontId="11" fillId="0" borderId="0" xfId="10" applyNumberFormat="1" applyAlignment="1"/>
    <xf numFmtId="0" fontId="8" fillId="0" borderId="17" xfId="55" applyFont="1" applyBorder="1" applyAlignment="1">
      <alignment horizontal="left" vertical="top"/>
    </xf>
    <xf numFmtId="0" fontId="12" fillId="36" borderId="14" xfId="0" applyFont="1" applyFill="1" applyBorder="1" applyAlignment="1">
      <alignment vertical="top" wrapText="1"/>
    </xf>
    <xf numFmtId="0" fontId="4" fillId="0" borderId="12" xfId="0" applyFont="1" applyBorder="1" applyAlignment="1">
      <alignment vertical="top" wrapText="1"/>
    </xf>
    <xf numFmtId="49" fontId="17" fillId="0" borderId="0" xfId="1" applyFill="1" applyAlignment="1">
      <alignment vertical="top" wrapText="1"/>
    </xf>
    <xf numFmtId="49" fontId="11" fillId="0" borderId="0" xfId="10" applyNumberFormat="1" applyAlignment="1">
      <alignment horizontal="left"/>
    </xf>
    <xf numFmtId="3" fontId="8" fillId="0" borderId="17" xfId="0" applyNumberFormat="1" applyFont="1" applyBorder="1" applyAlignment="1">
      <alignment horizontal="right" vertical="top" wrapText="1"/>
    </xf>
    <xf numFmtId="3" fontId="8" fillId="0" borderId="16" xfId="0" applyNumberFormat="1" applyFont="1" applyBorder="1" applyAlignment="1">
      <alignment horizontal="right" vertical="top" wrapText="1"/>
    </xf>
    <xf numFmtId="3" fontId="8" fillId="37" borderId="17" xfId="0" applyNumberFormat="1" applyFont="1" applyFill="1" applyBorder="1" applyAlignment="1">
      <alignment horizontal="right" vertical="top"/>
    </xf>
    <xf numFmtId="3" fontId="8" fillId="0" borderId="17" xfId="0" applyNumberFormat="1" applyFont="1" applyBorder="1" applyAlignment="1">
      <alignment vertical="top"/>
    </xf>
    <xf numFmtId="3" fontId="8" fillId="37" borderId="16" xfId="0" applyNumberFormat="1" applyFont="1" applyFill="1" applyBorder="1" applyAlignment="1">
      <alignment horizontal="right" vertical="top"/>
    </xf>
    <xf numFmtId="3" fontId="8" fillId="0" borderId="16" xfId="0" applyNumberFormat="1" applyFont="1" applyBorder="1" applyAlignment="1">
      <alignment vertical="top"/>
    </xf>
    <xf numFmtId="0" fontId="9" fillId="3" borderId="3" xfId="9" applyAlignment="1"/>
    <xf numFmtId="0" fontId="9" fillId="3" borderId="18" xfId="9" applyBorder="1" applyAlignment="1"/>
    <xf numFmtId="49" fontId="9" fillId="3" borderId="18" xfId="9" applyNumberFormat="1" applyBorder="1" applyAlignment="1">
      <alignment horizontal="center" wrapText="1"/>
    </xf>
    <xf numFmtId="49" fontId="9" fillId="3" borderId="19" xfId="9" applyNumberFormat="1" applyBorder="1" applyAlignment="1">
      <alignment horizontal="center" wrapText="1"/>
    </xf>
    <xf numFmtId="164" fontId="8" fillId="0" borderId="17" xfId="0" applyNumberFormat="1" applyFont="1" applyBorder="1" applyAlignment="1">
      <alignment horizontal="right" vertical="top" wrapText="1"/>
    </xf>
    <xf numFmtId="0" fontId="7" fillId="0" borderId="15" xfId="0" applyFont="1" applyBorder="1" applyAlignment="1">
      <alignment horizontal="left" vertical="top" wrapText="1"/>
    </xf>
    <xf numFmtId="0" fontId="10" fillId="0" borderId="0" xfId="0" applyFont="1"/>
    <xf numFmtId="0" fontId="7" fillId="0" borderId="0" xfId="7" applyFont="1">
      <alignment horizontal="left" vertical="top" wrapText="1"/>
    </xf>
    <xf numFmtId="49" fontId="11" fillId="0" borderId="0" xfId="1" applyFont="1" applyFill="1" applyAlignment="1">
      <alignment horizontal="left"/>
    </xf>
    <xf numFmtId="0" fontId="4" fillId="0" borderId="20" xfId="0" applyFont="1" applyBorder="1" applyAlignment="1">
      <alignment horizontal="left" vertical="top" wrapText="1"/>
    </xf>
    <xf numFmtId="3" fontId="8" fillId="0" borderId="21" xfId="56" applyNumberFormat="1" applyFont="1" applyBorder="1" applyAlignment="1">
      <alignment vertical="top"/>
    </xf>
    <xf numFmtId="164" fontId="8" fillId="0" borderId="21" xfId="0" applyNumberFormat="1" applyFont="1" applyBorder="1" applyAlignment="1">
      <alignment horizontal="right" vertical="top" wrapText="1"/>
    </xf>
    <xf numFmtId="164" fontId="8" fillId="0" borderId="22" xfId="0" applyNumberFormat="1" applyFont="1" applyBorder="1" applyAlignment="1">
      <alignment horizontal="right" vertical="top" wrapText="1"/>
    </xf>
    <xf numFmtId="0" fontId="4" fillId="0" borderId="23" xfId="0" applyFont="1" applyBorder="1" applyAlignment="1">
      <alignment horizontal="left" vertical="top" wrapText="1"/>
    </xf>
    <xf numFmtId="3" fontId="8" fillId="0" borderId="24" xfId="56" applyNumberFormat="1" applyFont="1" applyBorder="1" applyAlignment="1">
      <alignment vertical="top"/>
    </xf>
    <xf numFmtId="164" fontId="8" fillId="0" borderId="24" xfId="0" applyNumberFormat="1" applyFont="1" applyBorder="1" applyAlignment="1">
      <alignment horizontal="right" vertical="top" wrapText="1"/>
    </xf>
    <xf numFmtId="164" fontId="8" fillId="0" borderId="25" xfId="0" applyNumberFormat="1" applyFont="1" applyBorder="1" applyAlignment="1">
      <alignment horizontal="right" vertical="top" wrapText="1"/>
    </xf>
    <xf numFmtId="0" fontId="9" fillId="3" borderId="26" xfId="9" applyBorder="1" applyAlignment="1">
      <alignment horizontal="left" wrapText="1"/>
    </xf>
    <xf numFmtId="0" fontId="9" fillId="3" borderId="27" xfId="9" applyBorder="1" applyAlignment="1">
      <alignment horizontal="center" wrapText="1"/>
    </xf>
    <xf numFmtId="0" fontId="9" fillId="3" borderId="28" xfId="9" applyBorder="1" applyAlignment="1">
      <alignment horizontal="center" wrapText="1"/>
    </xf>
    <xf numFmtId="0" fontId="12" fillId="0" borderId="0" xfId="0" applyFont="1" applyAlignment="1">
      <alignment vertical="top" wrapText="1"/>
    </xf>
    <xf numFmtId="0" fontId="15" fillId="0" borderId="0" xfId="12" applyFont="1" applyAlignment="1">
      <alignment horizontal="left" vertical="center" wrapText="1"/>
    </xf>
    <xf numFmtId="49" fontId="11" fillId="0" borderId="0" xfId="10" applyNumberFormat="1" applyAlignment="1">
      <alignment horizontal="left"/>
    </xf>
    <xf numFmtId="49" fontId="8" fillId="0" borderId="17" xfId="0" applyNumberFormat="1" applyFont="1" applyBorder="1" applyAlignment="1">
      <alignment horizontal="left" vertical="top"/>
    </xf>
    <xf numFmtId="0" fontId="11" fillId="0" borderId="0" xfId="0" applyFont="1" applyAlignment="1">
      <alignment horizontal="left" vertical="top" wrapText="1"/>
    </xf>
    <xf numFmtId="0" fontId="4" fillId="0" borderId="12" xfId="0" applyFont="1" applyBorder="1" applyAlignment="1">
      <alignment horizontal="left" vertical="top"/>
    </xf>
    <xf numFmtId="0" fontId="4" fillId="0" borderId="12" xfId="55" applyFont="1" applyBorder="1" applyAlignment="1">
      <alignment horizontal="left" vertical="top"/>
    </xf>
    <xf numFmtId="0" fontId="15" fillId="0" borderId="14" xfId="12" applyFont="1" applyBorder="1" applyAlignment="1">
      <alignment horizontal="left" vertical="center" wrapText="1"/>
    </xf>
    <xf numFmtId="0" fontId="0" fillId="0" borderId="0" xfId="0" applyAlignment="1"/>
    <xf numFmtId="3" fontId="8" fillId="0" borderId="0" xfId="0" applyNumberFormat="1" applyFont="1" applyAlignment="1">
      <alignment vertical="top"/>
    </xf>
  </cellXfs>
  <cellStyles count="67">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7" xr:uid="{00000000-0005-0000-0000-000019000000}"/>
    <cellStyle name="Calculation" xfId="24" builtinId="22" hidden="1"/>
    <cellStyle name="Check Cell" xfId="26" builtinId="23" hidden="1"/>
    <cellStyle name="Comma" xfId="2" builtinId="3" hidden="1"/>
    <cellStyle name="Comma [0]" xfId="15" builtinId="6" hidden="1"/>
    <cellStyle name="Currency" xfId="16" builtinId="4" hidden="1"/>
    <cellStyle name="Currency [0]" xfId="17" builtinId="7" hidden="1"/>
    <cellStyle name="Explanatory Text" xfId="29" builtinId="53" hidden="1"/>
    <cellStyle name="Figure_title" xfId="8" xr:uid="{00000000-0005-0000-0000-000021000000}"/>
    <cellStyle name="Followed Hyperlink" xfId="14" builtinId="9" customBuiltin="1"/>
    <cellStyle name="Followed Hyperlink 2" xfId="64" xr:uid="{250559F2-52CD-452E-ADBD-D982F287A689}"/>
    <cellStyle name="Good" xfId="19" builtinId="26" hidden="1"/>
    <cellStyle name="Header_row" xfId="9" xr:uid="{00000000-0005-0000-0000-000024000000}"/>
    <cellStyle name="Heading 1" xfId="3" builtinId="16" customBuiltin="1"/>
    <cellStyle name="Heading 1 2" xfId="60" xr:uid="{03EBBE9B-25D8-41E8-8915-870EC2543063}"/>
    <cellStyle name="Heading 2" xfId="4" builtinId="17" customBuiltin="1"/>
    <cellStyle name="Heading 2 2" xfId="61" xr:uid="{D93E657F-82AE-4AE4-B259-BE00706038E5}"/>
    <cellStyle name="Heading 3" xfId="5" builtinId="18" customBuiltin="1"/>
    <cellStyle name="Heading 3 2" xfId="62" xr:uid="{FB36C264-F434-48BA-94EC-CF251299F949}"/>
    <cellStyle name="Heading 4" xfId="6" builtinId="19" customBuiltin="1"/>
    <cellStyle name="Heading 4 2" xfId="63" xr:uid="{38932B57-A1D3-4822-BBE5-D5EC691DFC4E}"/>
    <cellStyle name="Hyperlink" xfId="1" builtinId="8" customBuiltin="1"/>
    <cellStyle name="Hyperlink 2" xfId="65" xr:uid="{7A8937CD-2B87-4334-A6CB-7E979BCDC489}"/>
    <cellStyle name="Hyperlink 3" xfId="57" xr:uid="{870C767E-2E7B-4136-8B89-31BC446CAAE4}"/>
    <cellStyle name="Input" xfId="22" builtinId="20" hidden="1"/>
    <cellStyle name="Linked Cell" xfId="25" builtinId="24" hidden="1"/>
    <cellStyle name="Neutral" xfId="21" builtinId="28" hidden="1"/>
    <cellStyle name="Normal" xfId="0" builtinId="0"/>
    <cellStyle name="Normal 2" xfId="55" xr:uid="{00000000-0005-0000-0000-00002E000000}"/>
    <cellStyle name="Normal 3" xfId="56" xr:uid="{F9C4B961-89BE-4A82-AA7B-4981B1D138D3}"/>
    <cellStyle name="Normal 3 2" xfId="66" xr:uid="{AA06E046-D169-48C4-B380-3AB527FF86C4}"/>
    <cellStyle name="Normal 4" xfId="59" xr:uid="{0769DFAB-BDA2-4D15-A418-9E7D5B01C82C}"/>
    <cellStyle name="Normal 5" xfId="58" xr:uid="{2A210355-AC61-4CCA-B17D-CD324F44A3CF}"/>
    <cellStyle name="Note" xfId="28" builtinId="10" hidden="1"/>
    <cellStyle name="Notes_sources" xfId="10" xr:uid="{00000000-0005-0000-0000-000030000000}"/>
    <cellStyle name="Output" xfId="23" builtinId="21" hidden="1"/>
    <cellStyle name="Percent" xfId="13" builtinId="5" hidden="1"/>
    <cellStyle name="Sub_row" xfId="11" xr:uid="{00000000-0005-0000-0000-000033000000}"/>
    <cellStyle name="Table_title" xfId="12" xr:uid="{00000000-0005-0000-0000-000034000000}"/>
    <cellStyle name="Title" xfId="18" builtinId="15" hidden="1"/>
    <cellStyle name="Total" xfId="30" builtinId="25" hidden="1"/>
    <cellStyle name="Warning Text" xfId="27" builtinId="11" hidden="1"/>
  </cellStyles>
  <dxfs count="27">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outline="0">
        <left/>
        <right style="thin">
          <color auto="1"/>
        </right>
        <top style="thin">
          <color indexed="64"/>
        </top>
        <bottom style="thin">
          <color indexed="64"/>
        </bottom>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bottom style="thin">
          <color theme="1"/>
        </bottom>
      </border>
    </dxf>
    <dxf>
      <alignment horizontal="center" vertical="bottom" textRotation="0" wrapText="1" indent="0" justifyLastLine="0" shrinkToFit="0" readingOrder="0"/>
      <border diagonalUp="0" diagonalDown="0">
        <left style="thin">
          <color theme="1"/>
        </left>
        <right style="thin">
          <color theme="1"/>
        </right>
        <top/>
        <bottom/>
        <vertical style="thin">
          <color theme="1"/>
        </vertical>
        <horizontal style="thin">
          <color theme="1"/>
        </horizontal>
      </border>
    </dxf>
  </dxfs>
  <tableStyles count="0" defaultPivotStyle="PivotStyleLight16"/>
  <colors>
    <mruColors>
      <color rgb="FF33BDB7"/>
      <color rgb="FF0070C0"/>
      <color rgb="FF4E4E4E"/>
      <color rgb="FFFFDF79"/>
      <color rgb="FF8F8F8F"/>
      <color rgb="FFD9D9D9"/>
      <color rgb="FF58595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5748020</xdr:colOff>
      <xdr:row>12</xdr:row>
      <xdr:rowOff>15239</xdr:rowOff>
    </xdr:from>
    <xdr:to>
      <xdr:col>0</xdr:col>
      <xdr:colOff>7485380</xdr:colOff>
      <xdr:row>12</xdr:row>
      <xdr:rowOff>838199</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F392A497-9A14-4C0E-AF37-F92DB803B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8020" y="7338059"/>
          <a:ext cx="1737360"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27A98-E610-4C4A-91AF-3E6260E95EB2}" name="Table1" displayName="Table1" ref="A2:K12" totalsRowShown="0" headerRowDxfId="26" dataDxfId="24" headerRowBorderDxfId="25" tableBorderDxfId="23" totalsRowBorderDxfId="22" headerRowCellStyle="Header_row">
  <autoFilter ref="A2:K12" xr:uid="{ED927A98-E610-4C4A-91AF-3E6260E95E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39F54EF-7DBD-4E0B-BBC0-5EA9CCE6F612}" name="Province/territory* " dataDxfId="21"/>
    <tableColumn id="2" xr3:uid="{315E944F-4534-4F26-8B68-3024D4531BBD}" name="ED volumes: Total" dataDxfId="20" dataCellStyle="Normal 3"/>
    <tableColumn id="3" xr3:uid="{43747E6E-2EDB-43BA-8DEC-B3EB55DD4DDF}" name="ED volumes: _x000a_CTAS levels I–III (discharged)†" dataDxfId="19" dataCellStyle="Normal 3"/>
    <tableColumn id="4" xr3:uid="{83838B1D-B8AB-4718-A518-3823D79E71C1}" name="ED volumes: _x000a_CTAS levels IV–V (discharged)‡" dataDxfId="18" dataCellStyle="Normal 3"/>
    <tableColumn id="5" xr3:uid="{D1C99983-2370-4F44-9A5F-B48C5B93D1A5}" name="ED volumes: Admitted§" dataDxfId="17" dataCellStyle="Normal 3"/>
    <tableColumn id="6" xr3:uid="{FE18EDBB-968D-4ED3-936D-68895B14BBC7}" name="Median _x000a_(50% spent less, in hours): CTAS levels I–III (discharged)†" dataDxfId="16"/>
    <tableColumn id="7" xr3:uid="{B759B3D6-5E24-4412-8C52-98232BAF18FE}" name="Median _x000a_(50% spent less, in hours): CTAS levels IV–V (discharged)‡" dataDxfId="15"/>
    <tableColumn id="8" xr3:uid="{0CFC34A1-A103-4305-9C75-B5C25644A5E4}" name="Median _x000a_(50% spent less, in hours): Admitted§" dataDxfId="14"/>
    <tableColumn id="9" xr3:uid="{B20694B6-8A23-431B-80E5-2E5E9B8E5DC2}" name="90th percentile _x000a_(90% spent less, in hours): CTAS levels I–III (discharged)†" dataDxfId="13"/>
    <tableColumn id="10" xr3:uid="{F471C700-2E55-4E32-BC2C-4993D10B18AD}" name="90th percentile _x000a_(90% spent less, in hours): CTAS levels IV–V (discharged)‡" dataDxfId="12"/>
    <tableColumn id="11" xr3:uid="{894E616F-DD57-45C3-BFC0-DBC12E0F514B}" name="90th percentile _x000a_(90% spent less, in hours): Admitted§" dataDxfId="1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2:F12" totalsRowShown="0" headerRowDxfId="10" dataDxfId="8" headerRowBorderDxfId="9" tableBorderDxfId="7" totalsRowBorderDxfId="6" headerRowCellStyle="Header_row">
  <autoFilter ref="A2:F12"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Main problem" dataDxfId="5"/>
    <tableColumn id="2" xr3:uid="{00000000-0010-0000-0200-000002000000}" name="Number of ED visits" dataDxfId="4"/>
    <tableColumn id="3" xr3:uid="{00000000-0010-0000-0200-000003000000}" name="ED LOS (90% spent less, in hours)" dataDxfId="3"/>
    <tableColumn id="4" xr3:uid="{00000000-0010-0000-0200-000004000000}" name="Non-admitted (%)" dataDxfId="2"/>
    <tableColumn id="5" xr3:uid="{00000000-0010-0000-0200-000005000000}" name="Admitted† (%)" dataDxfId="1"/>
    <tableColumn id="6" xr3:uid="{2FBBF8FD-C434-44CB-ACA0-9F4E3B3028F5}" name="Column1"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cad@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13"/>
  <sheetViews>
    <sheetView showGridLines="0" topLeftCell="A2" zoomScaleNormal="100" zoomScaleSheetLayoutView="100" workbookViewId="0">
      <selection activeCell="A12" sqref="A12"/>
    </sheetView>
  </sheetViews>
  <sheetFormatPr defaultColWidth="0" defaultRowHeight="14" zeroHeight="1" x14ac:dyDescent="0.3"/>
  <cols>
    <col min="1" max="1" width="100.58203125" customWidth="1"/>
    <col min="2" max="16384" width="15.58203125" hidden="1"/>
  </cols>
  <sheetData>
    <row r="1" spans="1:1" s="68" customFormat="1" ht="1" customHeight="1" x14ac:dyDescent="0.3">
      <c r="A1" s="82" t="s">
        <v>75</v>
      </c>
    </row>
    <row r="2" spans="1:1" s="68" customFormat="1" ht="85.65" customHeight="1" x14ac:dyDescent="0.3">
      <c r="A2" s="52" t="s">
        <v>94</v>
      </c>
    </row>
    <row r="3" spans="1:1" s="2" customFormat="1" ht="138" customHeight="1" x14ac:dyDescent="0.3">
      <c r="A3" s="9" t="s">
        <v>77</v>
      </c>
    </row>
    <row r="4" spans="1:1" s="69" customFormat="1" ht="90" customHeight="1" x14ac:dyDescent="0.3">
      <c r="A4" s="43" t="s">
        <v>109</v>
      </c>
    </row>
    <row r="5" spans="1:1" s="2" customFormat="1" ht="30" customHeight="1" x14ac:dyDescent="0.3">
      <c r="A5" s="43" t="s">
        <v>78</v>
      </c>
    </row>
    <row r="6" spans="1:1" s="2" customFormat="1" ht="39.75" customHeight="1" x14ac:dyDescent="0.3">
      <c r="A6" s="10" t="s">
        <v>10</v>
      </c>
    </row>
    <row r="7" spans="1:1" s="12" customFormat="1" ht="20" customHeight="1" x14ac:dyDescent="0.3">
      <c r="A7" s="12" t="s">
        <v>12</v>
      </c>
    </row>
    <row r="8" spans="1:1" s="16" customFormat="1" ht="20" customHeight="1" x14ac:dyDescent="0.3">
      <c r="A8" s="41" t="s">
        <v>79</v>
      </c>
    </row>
    <row r="9" spans="1:1" s="16" customFormat="1" ht="35" customHeight="1" x14ac:dyDescent="0.3">
      <c r="A9" s="41" t="s">
        <v>108</v>
      </c>
    </row>
    <row r="10" spans="1:1" s="16" customFormat="1" ht="30" customHeight="1" x14ac:dyDescent="0.3">
      <c r="A10" s="41" t="s">
        <v>36</v>
      </c>
    </row>
    <row r="11" spans="1:1" ht="15" customHeight="1" x14ac:dyDescent="0.3">
      <c r="A11" s="5" t="s">
        <v>15</v>
      </c>
    </row>
    <row r="12" spans="1:1" s="2" customFormat="1" ht="35" customHeight="1" x14ac:dyDescent="0.3">
      <c r="A12" s="1" t="s">
        <v>121</v>
      </c>
    </row>
    <row r="13" spans="1:1" s="70" customFormat="1" ht="75" customHeight="1" x14ac:dyDescent="0.25">
      <c r="A13" s="42" t="s">
        <v>76</v>
      </c>
    </row>
  </sheetData>
  <hyperlinks>
    <hyperlink ref="A7:XFD7" r:id="rId1" display="The following companion products are available on CIHI’s website:" xr:uid="{00000000-0004-0000-0000-000001000000}"/>
    <hyperlink ref="A13:XFD13" location="'Table of contents'!A1" display="End of worksheet (go to Table of contents)" xr:uid="{3F178AAD-D66C-4EA2-9B71-1920BE00161D}"/>
  </hyperlinks>
  <pageMargins left="0.7" right="0.7" top="0.75" bottom="0.75" header="0.3" footer="0.3"/>
  <pageSetup fitToHeight="0" orientation="landscape" r:id="rId2"/>
  <headerFooter>
    <oddFooter>&amp;L&amp;9© 2025 CIHI&amp;R&amp;9&amp;P</oddFooter>
  </headerFooter>
  <colBreaks count="1" manualBreakCount="1">
    <brk id="5"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7"/>
  <sheetViews>
    <sheetView showGridLines="0" zoomScaleNormal="100" zoomScaleSheetLayoutView="100" workbookViewId="0"/>
  </sheetViews>
  <sheetFormatPr defaultColWidth="0" defaultRowHeight="14" zeroHeight="1" x14ac:dyDescent="0.3"/>
  <cols>
    <col min="1" max="1" width="100.58203125" style="2" customWidth="1"/>
    <col min="2" max="2" width="2.5" hidden="1" customWidth="1"/>
    <col min="3" max="3" width="4.08203125" hidden="1" customWidth="1"/>
    <col min="4" max="12" width="8.58203125" hidden="1" customWidth="1"/>
    <col min="13" max="13" width="9" hidden="1" customWidth="1"/>
    <col min="14" max="16384" width="8.58203125" hidden="1"/>
  </cols>
  <sheetData>
    <row r="1" spans="1:1" s="7" customFormat="1" ht="50.25" customHeight="1" x14ac:dyDescent="0.3">
      <c r="A1" s="9" t="s">
        <v>9</v>
      </c>
    </row>
    <row r="2" spans="1:1" s="45" customFormat="1" ht="35" customHeight="1" x14ac:dyDescent="0.3">
      <c r="A2" s="54" t="s">
        <v>80</v>
      </c>
    </row>
    <row r="3" spans="1:1" s="3" customFormat="1" ht="20" customHeight="1" x14ac:dyDescent="0.3">
      <c r="A3" s="12" t="s">
        <v>81</v>
      </c>
    </row>
    <row r="4" spans="1:1" s="31" customFormat="1" ht="35.15" customHeight="1" x14ac:dyDescent="0.3">
      <c r="A4" s="54" t="s">
        <v>82</v>
      </c>
    </row>
    <row r="5" spans="1:1" s="31" customFormat="1" ht="20.149999999999999" customHeight="1" x14ac:dyDescent="0.3">
      <c r="A5" s="3" t="s">
        <v>51</v>
      </c>
    </row>
    <row r="6" spans="1:1" s="31" customFormat="1" ht="20.149999999999999" customHeight="1" x14ac:dyDescent="0.3">
      <c r="A6" s="3" t="s">
        <v>52</v>
      </c>
    </row>
    <row r="7" spans="1:1" s="19" customFormat="1" ht="15" customHeight="1" x14ac:dyDescent="0.25">
      <c r="A7" s="32" t="s">
        <v>16</v>
      </c>
    </row>
  </sheetData>
  <hyperlinks>
    <hyperlink ref="A2" location="'Table 1'!A1" display="Table 1  Number of ED visits and length of stay by Canadian Triage and Acuity Scale (CTAS) levels and admitted cases, participating provinces/territories, NACRS, April 2024 to March 2025" xr:uid="{00000000-0004-0000-0200-000000000000}"/>
    <hyperlink ref="A3" location="'Table 2'!A1" display="Table 2  Number of ED visits by month, age and sex, participating provinces/territories, NACRS, April 2024 to March 2025" xr:uid="{00000000-0004-0000-0200-000001000000}"/>
    <hyperlink ref="A4" location="'Table 3'!A1" display="'Table 3'!A1" xr:uid="{00000000-0004-0000-0200-000002000000}"/>
    <hyperlink ref="A5" location="'Methodology notes'!A1" display="Methodology notes" xr:uid="{5A1A2059-F59A-436B-BBAA-264A99914690}"/>
    <hyperlink ref="A6" location="'Contact information'!A1" display="Contact information" xr:uid="{AED0A713-CF4E-4907-853C-A8D5D15A688E}"/>
  </hyperlinks>
  <pageMargins left="0.7" right="0.7" top="0.75" bottom="0.75" header="0.3" footer="0.3"/>
  <pageSetup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2967-5CC8-4356-87B1-06588E580136}">
  <sheetPr>
    <pageSetUpPr fitToPage="1"/>
  </sheetPr>
  <dimension ref="A1:K24"/>
  <sheetViews>
    <sheetView showGridLines="0" zoomScaleNormal="100" workbookViewId="0">
      <pane xSplit="1" ySplit="2" topLeftCell="B3" activePane="bottomRight" state="frozen"/>
      <selection activeCell="A3" sqref="A3"/>
      <selection pane="topRight" activeCell="A3" sqref="A3"/>
      <selection pane="bottomLeft" activeCell="A3" sqref="A3"/>
      <selection pane="bottomRight" activeCell="D6" sqref="D6"/>
    </sheetView>
  </sheetViews>
  <sheetFormatPr defaultColWidth="0" defaultRowHeight="14" zeroHeight="1" x14ac:dyDescent="0.3"/>
  <cols>
    <col min="1" max="1" width="20.58203125" customWidth="1"/>
    <col min="2" max="2" width="20.6640625" customWidth="1"/>
    <col min="3" max="4" width="20.58203125" customWidth="1"/>
    <col min="5" max="5" width="20.6640625" customWidth="1"/>
    <col min="6" max="11" width="20.58203125" customWidth="1"/>
    <col min="12" max="16384" width="8.58203125" hidden="1"/>
  </cols>
  <sheetData>
    <row r="1" spans="1:11" ht="30" customHeight="1" x14ac:dyDescent="0.3">
      <c r="A1" s="83" t="s">
        <v>85</v>
      </c>
      <c r="B1" s="83"/>
      <c r="C1" s="83"/>
      <c r="D1" s="83"/>
      <c r="E1" s="83"/>
      <c r="F1" s="83"/>
      <c r="G1" s="83"/>
      <c r="H1" s="83"/>
      <c r="I1" s="83"/>
      <c r="J1" s="83"/>
      <c r="K1" s="83"/>
    </row>
    <row r="2" spans="1:11" ht="66.650000000000006" customHeight="1" x14ac:dyDescent="0.3">
      <c r="A2" s="79" t="s">
        <v>13</v>
      </c>
      <c r="B2" s="80" t="s">
        <v>53</v>
      </c>
      <c r="C2" s="80" t="s">
        <v>110</v>
      </c>
      <c r="D2" s="80" t="s">
        <v>111</v>
      </c>
      <c r="E2" s="80" t="s">
        <v>88</v>
      </c>
      <c r="F2" s="80" t="s">
        <v>89</v>
      </c>
      <c r="G2" s="80" t="s">
        <v>90</v>
      </c>
      <c r="H2" s="80" t="s">
        <v>91</v>
      </c>
      <c r="I2" s="80" t="s">
        <v>112</v>
      </c>
      <c r="J2" s="80" t="s">
        <v>113</v>
      </c>
      <c r="K2" s="81" t="s">
        <v>114</v>
      </c>
    </row>
    <row r="3" spans="1:11" s="2" customFormat="1" ht="15" customHeight="1" x14ac:dyDescent="0.3">
      <c r="A3" s="71" t="s">
        <v>28</v>
      </c>
      <c r="B3" s="72">
        <v>64828</v>
      </c>
      <c r="C3" s="72">
        <v>28733</v>
      </c>
      <c r="D3" s="72">
        <v>14492</v>
      </c>
      <c r="E3" s="72">
        <v>7371</v>
      </c>
      <c r="F3" s="73">
        <v>5.3</v>
      </c>
      <c r="G3" s="73">
        <v>5.4</v>
      </c>
      <c r="H3" s="73">
        <v>25.7</v>
      </c>
      <c r="I3" s="73">
        <v>11.7</v>
      </c>
      <c r="J3" s="73">
        <v>11.8</v>
      </c>
      <c r="K3" s="74">
        <v>106.7</v>
      </c>
    </row>
    <row r="4" spans="1:11" s="2" customFormat="1" ht="15" customHeight="1" x14ac:dyDescent="0.3">
      <c r="A4" s="71" t="s">
        <v>29</v>
      </c>
      <c r="B4" s="72">
        <v>321969</v>
      </c>
      <c r="C4" s="72">
        <v>177349</v>
      </c>
      <c r="D4" s="72">
        <v>70897</v>
      </c>
      <c r="E4" s="72">
        <v>26158</v>
      </c>
      <c r="F4" s="73">
        <v>4.9000000000000004</v>
      </c>
      <c r="G4" s="73">
        <v>3.1</v>
      </c>
      <c r="H4" s="73">
        <v>17.2</v>
      </c>
      <c r="I4" s="73">
        <v>11.4</v>
      </c>
      <c r="J4" s="73">
        <v>7.6</v>
      </c>
      <c r="K4" s="74">
        <v>56.1</v>
      </c>
    </row>
    <row r="5" spans="1:11" s="2" customFormat="1" ht="15" customHeight="1" x14ac:dyDescent="0.3">
      <c r="A5" s="71" t="s">
        <v>27</v>
      </c>
      <c r="B5" s="72">
        <v>3751747</v>
      </c>
      <c r="C5" s="72">
        <v>1287474</v>
      </c>
      <c r="D5" s="72">
        <v>1521929</v>
      </c>
      <c r="E5" s="72">
        <v>434594</v>
      </c>
      <c r="F5" s="73">
        <v>6</v>
      </c>
      <c r="G5" s="73">
        <v>3.7</v>
      </c>
      <c r="H5" s="73">
        <v>20.399999999999999</v>
      </c>
      <c r="I5" s="73">
        <v>18.100000000000001</v>
      </c>
      <c r="J5" s="73">
        <v>11.2</v>
      </c>
      <c r="K5" s="74">
        <v>50.7</v>
      </c>
    </row>
    <row r="6" spans="1:11" s="2" customFormat="1" ht="15" customHeight="1" x14ac:dyDescent="0.3">
      <c r="A6" s="71" t="s">
        <v>0</v>
      </c>
      <c r="B6" s="72">
        <v>6616431</v>
      </c>
      <c r="C6" s="72">
        <v>3805077</v>
      </c>
      <c r="D6" s="72">
        <v>1398456</v>
      </c>
      <c r="E6" s="72">
        <v>742886</v>
      </c>
      <c r="F6" s="73">
        <v>3.7</v>
      </c>
      <c r="G6" s="73">
        <v>2.2999999999999998</v>
      </c>
      <c r="H6" s="73">
        <v>14.4</v>
      </c>
      <c r="I6" s="73">
        <v>8.1999999999999993</v>
      </c>
      <c r="J6" s="73">
        <v>5.9</v>
      </c>
      <c r="K6" s="74">
        <v>44.4</v>
      </c>
    </row>
    <row r="7" spans="1:11" s="2" customFormat="1" ht="15" customHeight="1" x14ac:dyDescent="0.3">
      <c r="A7" s="71" t="s">
        <v>30</v>
      </c>
      <c r="B7" s="72">
        <v>469598</v>
      </c>
      <c r="C7" s="72">
        <v>184921</v>
      </c>
      <c r="D7" s="72">
        <v>137275</v>
      </c>
      <c r="E7" s="72">
        <v>50678</v>
      </c>
      <c r="F7" s="73">
        <v>6</v>
      </c>
      <c r="G7" s="73">
        <v>3.8</v>
      </c>
      <c r="H7" s="73">
        <v>17</v>
      </c>
      <c r="I7" s="73">
        <v>17.7</v>
      </c>
      <c r="J7" s="73">
        <v>11</v>
      </c>
      <c r="K7" s="74">
        <v>54.2</v>
      </c>
    </row>
    <row r="8" spans="1:11" s="2" customFormat="1" ht="15" customHeight="1" x14ac:dyDescent="0.3">
      <c r="A8" s="71" t="s">
        <v>31</v>
      </c>
      <c r="B8" s="72">
        <v>674429</v>
      </c>
      <c r="C8" s="72">
        <v>227595</v>
      </c>
      <c r="D8" s="72">
        <v>255983</v>
      </c>
      <c r="E8" s="72">
        <v>64902</v>
      </c>
      <c r="F8" s="73">
        <v>3.9</v>
      </c>
      <c r="G8" s="73">
        <v>2.2000000000000002</v>
      </c>
      <c r="H8" s="73">
        <v>9.1999999999999993</v>
      </c>
      <c r="I8" s="73">
        <v>9.3000000000000007</v>
      </c>
      <c r="J8" s="73">
        <v>6.5</v>
      </c>
      <c r="K8" s="74">
        <v>38.9</v>
      </c>
    </row>
    <row r="9" spans="1:11" s="2" customFormat="1" ht="15" customHeight="1" x14ac:dyDescent="0.3">
      <c r="A9" s="71" t="s">
        <v>1</v>
      </c>
      <c r="B9" s="72">
        <v>2328410</v>
      </c>
      <c r="C9" s="72">
        <v>1183382</v>
      </c>
      <c r="D9" s="72">
        <v>610855</v>
      </c>
      <c r="E9" s="72">
        <v>212456</v>
      </c>
      <c r="F9" s="73">
        <v>4</v>
      </c>
      <c r="G9" s="73">
        <v>2.4</v>
      </c>
      <c r="H9" s="73">
        <v>12.5</v>
      </c>
      <c r="I9" s="73">
        <v>9.9</v>
      </c>
      <c r="J9" s="73">
        <v>6.2</v>
      </c>
      <c r="K9" s="74">
        <v>37.299999999999997</v>
      </c>
    </row>
    <row r="10" spans="1:11" s="2" customFormat="1" ht="15" customHeight="1" x14ac:dyDescent="0.3">
      <c r="A10" s="71" t="s">
        <v>32</v>
      </c>
      <c r="B10" s="72">
        <v>1834943</v>
      </c>
      <c r="C10" s="72">
        <v>918098</v>
      </c>
      <c r="D10" s="72">
        <v>523214</v>
      </c>
      <c r="E10" s="72">
        <v>228461</v>
      </c>
      <c r="F10" s="73">
        <v>4.3</v>
      </c>
      <c r="G10" s="73">
        <v>3</v>
      </c>
      <c r="H10" s="73">
        <v>19.8</v>
      </c>
      <c r="I10" s="73">
        <v>9</v>
      </c>
      <c r="J10" s="73">
        <v>6.4</v>
      </c>
      <c r="K10" s="74">
        <v>64.7</v>
      </c>
    </row>
    <row r="11" spans="1:11" s="2" customFormat="1" ht="15" customHeight="1" x14ac:dyDescent="0.3">
      <c r="A11" s="71" t="s">
        <v>2</v>
      </c>
      <c r="B11" s="72">
        <v>40432</v>
      </c>
      <c r="C11" s="72">
        <v>13740</v>
      </c>
      <c r="D11" s="72">
        <v>18984</v>
      </c>
      <c r="E11" s="72">
        <v>3070</v>
      </c>
      <c r="F11" s="73">
        <v>3.1</v>
      </c>
      <c r="G11" s="73">
        <v>2.2000000000000002</v>
      </c>
      <c r="H11" s="73">
        <v>11</v>
      </c>
      <c r="I11" s="73">
        <v>6.4</v>
      </c>
      <c r="J11" s="73">
        <v>4.9000000000000004</v>
      </c>
      <c r="K11" s="74">
        <v>28.9</v>
      </c>
    </row>
    <row r="12" spans="1:11" s="2" customFormat="1" ht="15" customHeight="1" x14ac:dyDescent="0.3">
      <c r="A12" s="75" t="s">
        <v>3</v>
      </c>
      <c r="B12" s="76">
        <v>16102787</v>
      </c>
      <c r="C12" s="76">
        <v>7826369</v>
      </c>
      <c r="D12" s="76">
        <v>4552085</v>
      </c>
      <c r="E12" s="76">
        <v>1770576</v>
      </c>
      <c r="F12" s="77">
        <v>4.2</v>
      </c>
      <c r="G12" s="77">
        <v>2.8</v>
      </c>
      <c r="H12" s="77">
        <v>16</v>
      </c>
      <c r="I12" s="77">
        <v>10.199999999999999</v>
      </c>
      <c r="J12" s="77">
        <v>8</v>
      </c>
      <c r="K12" s="78">
        <v>48.5</v>
      </c>
    </row>
    <row r="13" spans="1:11" ht="17.25" customHeight="1" x14ac:dyDescent="0.3">
      <c r="A13" s="4" t="s">
        <v>4</v>
      </c>
      <c r="B13" s="4"/>
      <c r="C13" s="40"/>
      <c r="D13" s="40"/>
      <c r="E13" s="40"/>
      <c r="F13" s="40"/>
      <c r="G13" s="40"/>
      <c r="H13" s="40"/>
      <c r="I13" s="40"/>
      <c r="J13" s="40"/>
      <c r="K13" s="40"/>
    </row>
    <row r="14" spans="1:11" ht="12" customHeight="1" x14ac:dyDescent="0.3">
      <c r="A14" s="27" t="s">
        <v>5</v>
      </c>
      <c r="B14" s="27"/>
      <c r="C14" s="29"/>
      <c r="D14" s="29"/>
      <c r="E14" s="29"/>
      <c r="F14" s="29"/>
      <c r="G14" s="29"/>
      <c r="H14" s="29"/>
      <c r="I14" s="29"/>
      <c r="J14" s="29"/>
      <c r="K14" s="11"/>
    </row>
    <row r="15" spans="1:11" ht="12" customHeight="1" x14ac:dyDescent="0.3">
      <c r="A15" s="27" t="s">
        <v>41</v>
      </c>
      <c r="B15" s="27"/>
      <c r="C15" s="29"/>
      <c r="D15" s="29"/>
      <c r="E15" s="29"/>
      <c r="F15" s="29"/>
      <c r="G15" s="29"/>
      <c r="H15" s="29"/>
      <c r="I15" s="29"/>
      <c r="J15" s="29"/>
      <c r="K15" s="11"/>
    </row>
    <row r="16" spans="1:11" ht="12" customHeight="1" x14ac:dyDescent="0.3">
      <c r="A16" s="27" t="s">
        <v>42</v>
      </c>
      <c r="B16" s="27"/>
      <c r="C16" s="29"/>
      <c r="D16" s="29"/>
      <c r="E16" s="29"/>
      <c r="F16" s="29"/>
      <c r="G16" s="29"/>
      <c r="H16" s="29"/>
      <c r="I16" s="29"/>
      <c r="J16" s="29"/>
      <c r="K16" s="11"/>
    </row>
    <row r="17" spans="1:11" ht="12" customHeight="1" x14ac:dyDescent="0.3">
      <c r="A17" s="27" t="s">
        <v>8</v>
      </c>
      <c r="B17" s="27"/>
      <c r="C17" s="29"/>
      <c r="D17" s="29"/>
      <c r="E17" s="29"/>
      <c r="F17" s="29"/>
      <c r="G17" s="29"/>
      <c r="H17" s="29"/>
      <c r="I17" s="29"/>
      <c r="J17" s="29"/>
      <c r="K17" s="11"/>
    </row>
    <row r="18" spans="1:11" ht="12" customHeight="1" x14ac:dyDescent="0.3">
      <c r="A18" s="27" t="s">
        <v>86</v>
      </c>
      <c r="B18" s="27"/>
      <c r="C18" s="29"/>
      <c r="D18" s="34"/>
      <c r="E18" s="29"/>
      <c r="F18" s="29"/>
      <c r="G18" s="29"/>
      <c r="H18" s="29"/>
      <c r="I18" s="29"/>
      <c r="J18" s="29"/>
      <c r="K18" s="11"/>
    </row>
    <row r="19" spans="1:11" ht="12" customHeight="1" x14ac:dyDescent="0.3">
      <c r="A19" s="27" t="s">
        <v>34</v>
      </c>
      <c r="B19" s="27"/>
      <c r="C19" s="29"/>
      <c r="D19" s="29"/>
      <c r="E19" s="29"/>
      <c r="F19" s="29"/>
      <c r="G19" s="29"/>
      <c r="H19" s="29"/>
      <c r="I19" s="29"/>
      <c r="J19" s="29"/>
      <c r="K19" s="11"/>
    </row>
    <row r="20" spans="1:11" ht="12" customHeight="1" x14ac:dyDescent="0.3">
      <c r="A20" s="30" t="s">
        <v>7</v>
      </c>
      <c r="B20" s="30"/>
      <c r="C20" s="29"/>
      <c r="D20" s="29"/>
      <c r="E20" s="29"/>
      <c r="F20" s="29"/>
      <c r="G20" s="29"/>
      <c r="H20" s="29"/>
      <c r="I20" s="29"/>
      <c r="J20" s="29"/>
      <c r="K20" s="29"/>
    </row>
    <row r="21" spans="1:11" ht="12" customHeight="1" x14ac:dyDescent="0.3">
      <c r="A21" s="27" t="s">
        <v>105</v>
      </c>
      <c r="B21" s="33"/>
      <c r="C21" s="34"/>
      <c r="D21" s="34"/>
      <c r="E21" s="34"/>
      <c r="F21" s="34"/>
      <c r="G21" s="34"/>
      <c r="H21" s="34"/>
      <c r="I21" s="34"/>
      <c r="J21" s="34"/>
      <c r="K21" s="35"/>
    </row>
    <row r="22" spans="1:11" ht="12" customHeight="1" x14ac:dyDescent="0.3">
      <c r="A22" s="30" t="s">
        <v>6</v>
      </c>
      <c r="B22" s="30"/>
      <c r="C22" s="29"/>
      <c r="D22" s="29"/>
      <c r="E22" s="29"/>
      <c r="F22" s="29"/>
      <c r="G22" s="29"/>
      <c r="H22" s="29"/>
      <c r="I22" s="29"/>
      <c r="J22" s="29"/>
      <c r="K22" s="29"/>
    </row>
    <row r="23" spans="1:11" ht="12" customHeight="1" x14ac:dyDescent="0.3">
      <c r="A23" s="27" t="s">
        <v>87</v>
      </c>
      <c r="B23" s="27"/>
      <c r="C23" s="29"/>
      <c r="D23" s="29"/>
      <c r="E23" s="29"/>
      <c r="F23" s="29"/>
      <c r="G23" s="29"/>
      <c r="H23" s="29"/>
      <c r="I23" s="29"/>
      <c r="J23" s="29"/>
      <c r="K23" s="11"/>
    </row>
    <row r="24" spans="1:11" ht="30" customHeight="1" x14ac:dyDescent="0.3">
      <c r="A24" s="84" t="s">
        <v>54</v>
      </c>
      <c r="B24" s="84"/>
      <c r="C24" s="84"/>
    </row>
  </sheetData>
  <mergeCells count="2">
    <mergeCell ref="A1:K1"/>
    <mergeCell ref="A24:C24"/>
  </mergeCells>
  <hyperlinks>
    <hyperlink ref="A24" location="'Table of contents'!A1" display="End of worksheet (back to Table of contents)" xr:uid="{9AD1B6ED-2E82-4509-9E1C-A3D7768FBC6C}"/>
  </hyperlinks>
  <pageMargins left="0.7" right="0.7" top="0.75" bottom="0.75" header="0.3" footer="0.3"/>
  <pageSetup scale="49" fitToHeight="0" orientation="landscape" r:id="rId1"/>
  <headerFooter>
    <oddFooter>&amp;L&amp;9© 2025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fitToPage="1"/>
  </sheetPr>
  <dimension ref="A1:XFC371"/>
  <sheetViews>
    <sheetView showGridLines="0" zoomScaleNormal="100" workbookViewId="0">
      <pane ySplit="2" topLeftCell="A135" activePane="bottomLeft" state="frozen"/>
      <selection activeCell="A3" sqref="A3"/>
      <selection pane="bottomLeft" activeCell="D179" sqref="D179"/>
    </sheetView>
  </sheetViews>
  <sheetFormatPr defaultColWidth="0" defaultRowHeight="0" customHeight="1" zeroHeight="1" x14ac:dyDescent="0.3"/>
  <cols>
    <col min="1" max="1" width="20.58203125" style="2" customWidth="1"/>
    <col min="2" max="8" width="15.58203125" style="2" customWidth="1"/>
    <col min="9" max="9" width="16.4140625" style="2" hidden="1"/>
    <col min="10" max="10" width="8.58203125" style="2" hidden="1"/>
    <col min="11" max="11" width="9.4140625" style="2" hidden="1"/>
    <col min="12" max="16383" width="8.58203125" style="2" hidden="1"/>
    <col min="16384" max="16384" width="16.4140625" style="2" hidden="1"/>
  </cols>
  <sheetData>
    <row r="1" spans="1:8" s="44" customFormat="1" ht="30" customHeight="1" x14ac:dyDescent="0.3">
      <c r="A1" s="83" t="s">
        <v>92</v>
      </c>
      <c r="B1" s="83"/>
      <c r="C1" s="83"/>
      <c r="D1" s="83"/>
      <c r="E1" s="83"/>
      <c r="F1" s="83"/>
      <c r="G1" s="83"/>
      <c r="H1" s="83"/>
    </row>
    <row r="2" spans="1:8" customFormat="1" ht="30.65" customHeight="1" x14ac:dyDescent="0.3">
      <c r="A2" s="62" t="s">
        <v>20</v>
      </c>
      <c r="B2" s="63" t="s">
        <v>33</v>
      </c>
      <c r="C2" s="63" t="s">
        <v>17</v>
      </c>
      <c r="D2" s="64" t="s">
        <v>70</v>
      </c>
      <c r="E2" s="64" t="s">
        <v>71</v>
      </c>
      <c r="F2" s="64" t="s">
        <v>72</v>
      </c>
      <c r="G2" s="64" t="s">
        <v>73</v>
      </c>
      <c r="H2" s="65" t="s">
        <v>74</v>
      </c>
    </row>
    <row r="3" spans="1:8" s="26" customFormat="1" ht="15" customHeight="1" x14ac:dyDescent="0.3">
      <c r="A3" s="87" t="s">
        <v>3</v>
      </c>
      <c r="B3" s="85" t="s">
        <v>55</v>
      </c>
      <c r="C3" s="51" t="s">
        <v>18</v>
      </c>
      <c r="D3" s="56">
        <v>41806</v>
      </c>
      <c r="E3" s="56">
        <v>89358</v>
      </c>
      <c r="F3" s="56">
        <v>376478</v>
      </c>
      <c r="G3" s="56">
        <v>172646</v>
      </c>
      <c r="H3" s="57">
        <v>680345</v>
      </c>
    </row>
    <row r="4" spans="1:8" s="26" customFormat="1" ht="15" customHeight="1" x14ac:dyDescent="0.3">
      <c r="A4" s="87"/>
      <c r="B4" s="85"/>
      <c r="C4" s="51" t="s">
        <v>19</v>
      </c>
      <c r="D4" s="56">
        <v>50649</v>
      </c>
      <c r="E4" s="56">
        <v>86644</v>
      </c>
      <c r="F4" s="56">
        <v>334005</v>
      </c>
      <c r="G4" s="56">
        <v>155100</v>
      </c>
      <c r="H4" s="57">
        <v>626553</v>
      </c>
    </row>
    <row r="5" spans="1:8" s="26" customFormat="1" ht="15" customHeight="1" x14ac:dyDescent="0.3">
      <c r="A5" s="87"/>
      <c r="B5" s="85"/>
      <c r="C5" s="51" t="s">
        <v>26</v>
      </c>
      <c r="D5" s="56">
        <v>92469</v>
      </c>
      <c r="E5" s="56">
        <v>176060</v>
      </c>
      <c r="F5" s="56">
        <v>710736</v>
      </c>
      <c r="G5" s="56">
        <v>327762</v>
      </c>
      <c r="H5" s="57">
        <v>1307307</v>
      </c>
    </row>
    <row r="6" spans="1:8" s="26" customFormat="1" ht="15" customHeight="1" x14ac:dyDescent="0.3">
      <c r="A6" s="87"/>
      <c r="B6" s="85" t="s">
        <v>56</v>
      </c>
      <c r="C6" s="51" t="s">
        <v>18</v>
      </c>
      <c r="D6" s="56">
        <v>39909</v>
      </c>
      <c r="E6" s="56">
        <v>94235</v>
      </c>
      <c r="F6" s="56">
        <v>393958</v>
      </c>
      <c r="G6" s="56">
        <v>185833</v>
      </c>
      <c r="H6" s="57">
        <v>713992</v>
      </c>
    </row>
    <row r="7" spans="1:8" s="26" customFormat="1" ht="15" customHeight="1" x14ac:dyDescent="0.3">
      <c r="A7" s="87"/>
      <c r="B7" s="85"/>
      <c r="C7" s="51" t="s">
        <v>19</v>
      </c>
      <c r="D7" s="56">
        <v>49639</v>
      </c>
      <c r="E7" s="56">
        <v>95370</v>
      </c>
      <c r="F7" s="56">
        <v>353883</v>
      </c>
      <c r="G7" s="56">
        <v>167490</v>
      </c>
      <c r="H7" s="57">
        <v>666560</v>
      </c>
    </row>
    <row r="8" spans="1:8" s="26" customFormat="1" ht="15" customHeight="1" x14ac:dyDescent="0.3">
      <c r="A8" s="87"/>
      <c r="B8" s="85"/>
      <c r="C8" s="51" t="s">
        <v>26</v>
      </c>
      <c r="D8" s="56">
        <v>89569</v>
      </c>
      <c r="E8" s="56">
        <v>189656</v>
      </c>
      <c r="F8" s="56">
        <v>748131</v>
      </c>
      <c r="G8" s="56">
        <v>353333</v>
      </c>
      <c r="H8" s="57">
        <v>1380993</v>
      </c>
    </row>
    <row r="9" spans="1:8" s="26" customFormat="1" ht="15" customHeight="1" x14ac:dyDescent="0.3">
      <c r="A9" s="87"/>
      <c r="B9" s="85" t="s">
        <v>57</v>
      </c>
      <c r="C9" s="51" t="s">
        <v>18</v>
      </c>
      <c r="D9" s="56">
        <v>36349</v>
      </c>
      <c r="E9" s="56">
        <v>83731</v>
      </c>
      <c r="F9" s="56">
        <v>377406</v>
      </c>
      <c r="G9" s="56">
        <v>177802</v>
      </c>
      <c r="H9" s="57">
        <v>675356</v>
      </c>
    </row>
    <row r="10" spans="1:8" s="26" customFormat="1" ht="15" customHeight="1" x14ac:dyDescent="0.3">
      <c r="A10" s="87"/>
      <c r="B10" s="85"/>
      <c r="C10" s="51" t="s">
        <v>19</v>
      </c>
      <c r="D10" s="56">
        <v>44850</v>
      </c>
      <c r="E10" s="56">
        <v>85954</v>
      </c>
      <c r="F10" s="56">
        <v>347174</v>
      </c>
      <c r="G10" s="56">
        <v>163471</v>
      </c>
      <c r="H10" s="57">
        <v>641617</v>
      </c>
    </row>
    <row r="11" spans="1:8" s="26" customFormat="1" ht="15" customHeight="1" x14ac:dyDescent="0.3">
      <c r="A11" s="87"/>
      <c r="B11" s="85"/>
      <c r="C11" s="51" t="s">
        <v>26</v>
      </c>
      <c r="D11" s="56">
        <v>81216</v>
      </c>
      <c r="E11" s="56">
        <v>169732</v>
      </c>
      <c r="F11" s="56">
        <v>724897</v>
      </c>
      <c r="G11" s="56">
        <v>341298</v>
      </c>
      <c r="H11" s="57">
        <v>1317440</v>
      </c>
    </row>
    <row r="12" spans="1:8" s="26" customFormat="1" ht="15" customHeight="1" x14ac:dyDescent="0.3">
      <c r="A12" s="87"/>
      <c r="B12" s="85" t="s">
        <v>58</v>
      </c>
      <c r="C12" s="51" t="s">
        <v>18</v>
      </c>
      <c r="D12" s="56">
        <v>36848</v>
      </c>
      <c r="E12" s="56">
        <v>80296</v>
      </c>
      <c r="F12" s="56">
        <v>403926</v>
      </c>
      <c r="G12" s="56">
        <v>189887</v>
      </c>
      <c r="H12" s="57">
        <v>711034</v>
      </c>
    </row>
    <row r="13" spans="1:8" s="26" customFormat="1" ht="15" customHeight="1" x14ac:dyDescent="0.3">
      <c r="A13" s="87"/>
      <c r="B13" s="85"/>
      <c r="C13" s="51" t="s">
        <v>19</v>
      </c>
      <c r="D13" s="56">
        <v>44795</v>
      </c>
      <c r="E13" s="56">
        <v>79824</v>
      </c>
      <c r="F13" s="56">
        <v>373504</v>
      </c>
      <c r="G13" s="56">
        <v>173481</v>
      </c>
      <c r="H13" s="57">
        <v>671784</v>
      </c>
    </row>
    <row r="14" spans="1:8" s="26" customFormat="1" ht="15" customHeight="1" x14ac:dyDescent="0.3">
      <c r="A14" s="87"/>
      <c r="B14" s="85"/>
      <c r="C14" s="51" t="s">
        <v>26</v>
      </c>
      <c r="D14" s="56">
        <v>81666</v>
      </c>
      <c r="E14" s="56">
        <v>160192</v>
      </c>
      <c r="F14" s="56">
        <v>777763</v>
      </c>
      <c r="G14" s="56">
        <v>363398</v>
      </c>
      <c r="H14" s="57">
        <v>1383345</v>
      </c>
    </row>
    <row r="15" spans="1:8" s="26" customFormat="1" ht="15" customHeight="1" x14ac:dyDescent="0.3">
      <c r="A15" s="87"/>
      <c r="B15" s="85" t="s">
        <v>59</v>
      </c>
      <c r="C15" s="51" t="s">
        <v>18</v>
      </c>
      <c r="D15" s="56">
        <v>35239</v>
      </c>
      <c r="E15" s="56">
        <v>76837</v>
      </c>
      <c r="F15" s="56">
        <v>401761</v>
      </c>
      <c r="G15" s="56">
        <v>188755</v>
      </c>
      <c r="H15" s="57">
        <v>702660</v>
      </c>
    </row>
    <row r="16" spans="1:8" s="26" customFormat="1" ht="15" customHeight="1" x14ac:dyDescent="0.3">
      <c r="A16" s="87"/>
      <c r="B16" s="85"/>
      <c r="C16" s="51" t="s">
        <v>19</v>
      </c>
      <c r="D16" s="56">
        <v>43836</v>
      </c>
      <c r="E16" s="56">
        <v>77754</v>
      </c>
      <c r="F16" s="56">
        <v>369601</v>
      </c>
      <c r="G16" s="56">
        <v>171665</v>
      </c>
      <c r="H16" s="57">
        <v>663020</v>
      </c>
    </row>
    <row r="17" spans="1:8" s="26" customFormat="1" ht="15" customHeight="1" x14ac:dyDescent="0.3">
      <c r="A17" s="87"/>
      <c r="B17" s="85"/>
      <c r="C17" s="51" t="s">
        <v>26</v>
      </c>
      <c r="D17" s="56">
        <v>79110</v>
      </c>
      <c r="E17" s="56">
        <v>154676</v>
      </c>
      <c r="F17" s="56">
        <v>771715</v>
      </c>
      <c r="G17" s="56">
        <v>360449</v>
      </c>
      <c r="H17" s="57">
        <v>1366241</v>
      </c>
    </row>
    <row r="18" spans="1:8" s="26" customFormat="1" ht="15" customHeight="1" x14ac:dyDescent="0.3">
      <c r="A18" s="87"/>
      <c r="B18" s="85" t="s">
        <v>60</v>
      </c>
      <c r="C18" s="51" t="s">
        <v>18</v>
      </c>
      <c r="D18" s="56">
        <v>37866</v>
      </c>
      <c r="E18" s="56">
        <v>86936</v>
      </c>
      <c r="F18" s="56">
        <v>386494</v>
      </c>
      <c r="G18" s="56">
        <v>179128</v>
      </c>
      <c r="H18" s="57">
        <v>690497</v>
      </c>
    </row>
    <row r="19" spans="1:8" s="26" customFormat="1" ht="15" customHeight="1" x14ac:dyDescent="0.3">
      <c r="A19" s="87"/>
      <c r="B19" s="85"/>
      <c r="C19" s="51" t="s">
        <v>19</v>
      </c>
      <c r="D19" s="56">
        <v>47717</v>
      </c>
      <c r="E19" s="56">
        <v>90758</v>
      </c>
      <c r="F19" s="56">
        <v>347846</v>
      </c>
      <c r="G19" s="56">
        <v>162475</v>
      </c>
      <c r="H19" s="57">
        <v>648968</v>
      </c>
    </row>
    <row r="20" spans="1:8" s="26" customFormat="1" ht="15" customHeight="1" x14ac:dyDescent="0.3">
      <c r="A20" s="87"/>
      <c r="B20" s="85"/>
      <c r="C20" s="51" t="s">
        <v>26</v>
      </c>
      <c r="D20" s="56">
        <v>85622</v>
      </c>
      <c r="E20" s="56">
        <v>177777</v>
      </c>
      <c r="F20" s="56">
        <v>734662</v>
      </c>
      <c r="G20" s="56">
        <v>341629</v>
      </c>
      <c r="H20" s="57">
        <v>1339994</v>
      </c>
    </row>
    <row r="21" spans="1:8" s="26" customFormat="1" ht="15" customHeight="1" x14ac:dyDescent="0.3">
      <c r="A21" s="87"/>
      <c r="B21" s="85" t="s">
        <v>61</v>
      </c>
      <c r="C21" s="51" t="s">
        <v>18</v>
      </c>
      <c r="D21" s="56">
        <v>42694</v>
      </c>
      <c r="E21" s="56">
        <v>93187</v>
      </c>
      <c r="F21" s="56">
        <v>394974</v>
      </c>
      <c r="G21" s="56">
        <v>182143</v>
      </c>
      <c r="H21" s="57">
        <v>713043</v>
      </c>
    </row>
    <row r="22" spans="1:8" s="26" customFormat="1" ht="15" customHeight="1" x14ac:dyDescent="0.3">
      <c r="A22" s="87"/>
      <c r="B22" s="85"/>
      <c r="C22" s="51" t="s">
        <v>19</v>
      </c>
      <c r="D22" s="56">
        <v>52650</v>
      </c>
      <c r="E22" s="56">
        <v>95919</v>
      </c>
      <c r="F22" s="56">
        <v>348770</v>
      </c>
      <c r="G22" s="56">
        <v>165783</v>
      </c>
      <c r="H22" s="57">
        <v>663262</v>
      </c>
    </row>
    <row r="23" spans="1:8" s="26" customFormat="1" ht="15" customHeight="1" x14ac:dyDescent="0.3">
      <c r="A23" s="87"/>
      <c r="B23" s="85"/>
      <c r="C23" s="51" t="s">
        <v>26</v>
      </c>
      <c r="D23" s="56">
        <v>95371</v>
      </c>
      <c r="E23" s="56">
        <v>189171</v>
      </c>
      <c r="F23" s="56">
        <v>744052</v>
      </c>
      <c r="G23" s="56">
        <v>347947</v>
      </c>
      <c r="H23" s="57">
        <v>1376787</v>
      </c>
    </row>
    <row r="24" spans="1:8" s="26" customFormat="1" ht="15" customHeight="1" x14ac:dyDescent="0.3">
      <c r="A24" s="87"/>
      <c r="B24" s="85" t="s">
        <v>62</v>
      </c>
      <c r="C24" s="51" t="s">
        <v>18</v>
      </c>
      <c r="D24" s="56">
        <v>48012</v>
      </c>
      <c r="E24" s="56">
        <v>92517</v>
      </c>
      <c r="F24" s="56">
        <v>380949</v>
      </c>
      <c r="G24" s="56">
        <v>171356</v>
      </c>
      <c r="H24" s="57">
        <v>692894</v>
      </c>
    </row>
    <row r="25" spans="1:8" s="26" customFormat="1" ht="15" customHeight="1" x14ac:dyDescent="0.3">
      <c r="A25" s="87"/>
      <c r="B25" s="85"/>
      <c r="C25" s="51" t="s">
        <v>19</v>
      </c>
      <c r="D25" s="56">
        <v>58535</v>
      </c>
      <c r="E25" s="56">
        <v>91318</v>
      </c>
      <c r="F25" s="56">
        <v>330739</v>
      </c>
      <c r="G25" s="56">
        <v>153762</v>
      </c>
      <c r="H25" s="57">
        <v>634487</v>
      </c>
    </row>
    <row r="26" spans="1:8" s="26" customFormat="1" ht="15" customHeight="1" x14ac:dyDescent="0.3">
      <c r="A26" s="87"/>
      <c r="B26" s="85"/>
      <c r="C26" s="51" t="s">
        <v>26</v>
      </c>
      <c r="D26" s="56">
        <v>106565</v>
      </c>
      <c r="E26" s="56">
        <v>183902</v>
      </c>
      <c r="F26" s="56">
        <v>711958</v>
      </c>
      <c r="G26" s="56">
        <v>325132</v>
      </c>
      <c r="H26" s="57">
        <v>1327812</v>
      </c>
    </row>
    <row r="27" spans="1:8" s="26" customFormat="1" ht="15" customHeight="1" x14ac:dyDescent="0.3">
      <c r="A27" s="87"/>
      <c r="B27" s="85" t="s">
        <v>63</v>
      </c>
      <c r="C27" s="51" t="s">
        <v>18</v>
      </c>
      <c r="D27" s="56">
        <v>58358</v>
      </c>
      <c r="E27" s="56">
        <v>87762</v>
      </c>
      <c r="F27" s="56">
        <v>385032</v>
      </c>
      <c r="G27" s="56">
        <v>180748</v>
      </c>
      <c r="H27" s="57">
        <v>711953</v>
      </c>
    </row>
    <row r="28" spans="1:8" s="26" customFormat="1" ht="15" customHeight="1" x14ac:dyDescent="0.3">
      <c r="A28" s="87"/>
      <c r="B28" s="85"/>
      <c r="C28" s="51" t="s">
        <v>19</v>
      </c>
      <c r="D28" s="56">
        <v>70019</v>
      </c>
      <c r="E28" s="56">
        <v>86546</v>
      </c>
      <c r="F28" s="56">
        <v>337319</v>
      </c>
      <c r="G28" s="56">
        <v>162882</v>
      </c>
      <c r="H28" s="57">
        <v>656922</v>
      </c>
    </row>
    <row r="29" spans="1:8" s="26" customFormat="1" ht="15" customHeight="1" x14ac:dyDescent="0.3">
      <c r="A29" s="87"/>
      <c r="B29" s="85"/>
      <c r="C29" s="51" t="s">
        <v>26</v>
      </c>
      <c r="D29" s="56">
        <v>128413</v>
      </c>
      <c r="E29" s="56">
        <v>174347</v>
      </c>
      <c r="F29" s="56">
        <v>722682</v>
      </c>
      <c r="G29" s="56">
        <v>343650</v>
      </c>
      <c r="H29" s="57">
        <v>1369386</v>
      </c>
    </row>
    <row r="30" spans="1:8" s="26" customFormat="1" ht="15" customHeight="1" x14ac:dyDescent="0.3">
      <c r="A30" s="87"/>
      <c r="B30" s="85" t="s">
        <v>64</v>
      </c>
      <c r="C30" s="51" t="s">
        <v>18</v>
      </c>
      <c r="D30" s="56">
        <v>48708</v>
      </c>
      <c r="E30" s="56">
        <v>88391</v>
      </c>
      <c r="F30" s="56">
        <v>396529</v>
      </c>
      <c r="G30" s="56">
        <v>179100</v>
      </c>
      <c r="H30" s="57">
        <v>712781</v>
      </c>
    </row>
    <row r="31" spans="1:8" s="26" customFormat="1" ht="15" customHeight="1" x14ac:dyDescent="0.3">
      <c r="A31" s="87"/>
      <c r="B31" s="85"/>
      <c r="C31" s="51" t="s">
        <v>19</v>
      </c>
      <c r="D31" s="56">
        <v>58176</v>
      </c>
      <c r="E31" s="56">
        <v>84387</v>
      </c>
      <c r="F31" s="56">
        <v>345810</v>
      </c>
      <c r="G31" s="56">
        <v>160744</v>
      </c>
      <c r="H31" s="57">
        <v>649232</v>
      </c>
    </row>
    <row r="32" spans="1:8" s="26" customFormat="1" ht="15" customHeight="1" x14ac:dyDescent="0.3">
      <c r="A32" s="87"/>
      <c r="B32" s="85"/>
      <c r="C32" s="51" t="s">
        <v>26</v>
      </c>
      <c r="D32" s="56">
        <v>106913</v>
      </c>
      <c r="E32" s="56">
        <v>172845</v>
      </c>
      <c r="F32" s="56">
        <v>742650</v>
      </c>
      <c r="G32" s="56">
        <v>339865</v>
      </c>
      <c r="H32" s="57">
        <v>1362501</v>
      </c>
    </row>
    <row r="33" spans="1:8" s="26" customFormat="1" ht="15" customHeight="1" x14ac:dyDescent="0.3">
      <c r="A33" s="87"/>
      <c r="B33" s="85" t="s">
        <v>65</v>
      </c>
      <c r="C33" s="51" t="s">
        <v>18</v>
      </c>
      <c r="D33" s="56">
        <v>43681</v>
      </c>
      <c r="E33" s="56">
        <v>81763</v>
      </c>
      <c r="F33" s="56">
        <v>355084</v>
      </c>
      <c r="G33" s="56">
        <v>158609</v>
      </c>
      <c r="H33" s="57">
        <v>639174</v>
      </c>
    </row>
    <row r="34" spans="1:8" s="26" customFormat="1" ht="15" customHeight="1" x14ac:dyDescent="0.3">
      <c r="A34" s="87"/>
      <c r="B34" s="85"/>
      <c r="C34" s="51" t="s">
        <v>19</v>
      </c>
      <c r="D34" s="56">
        <v>52085</v>
      </c>
      <c r="E34" s="56">
        <v>79214</v>
      </c>
      <c r="F34" s="56">
        <v>307039</v>
      </c>
      <c r="G34" s="56">
        <v>143899</v>
      </c>
      <c r="H34" s="57">
        <v>582342</v>
      </c>
    </row>
    <row r="35" spans="1:8" s="26" customFormat="1" ht="15" customHeight="1" x14ac:dyDescent="0.3">
      <c r="A35" s="87"/>
      <c r="B35" s="85"/>
      <c r="C35" s="51" t="s">
        <v>26</v>
      </c>
      <c r="D35" s="56">
        <v>95784</v>
      </c>
      <c r="E35" s="56">
        <v>161018</v>
      </c>
      <c r="F35" s="56">
        <v>662404</v>
      </c>
      <c r="G35" s="56">
        <v>302526</v>
      </c>
      <c r="H35" s="57">
        <v>1221928</v>
      </c>
    </row>
    <row r="36" spans="1:8" s="26" customFormat="1" ht="15" customHeight="1" x14ac:dyDescent="0.3">
      <c r="A36" s="87"/>
      <c r="B36" s="85" t="s">
        <v>66</v>
      </c>
      <c r="C36" s="51" t="s">
        <v>18</v>
      </c>
      <c r="D36" s="56">
        <v>44683</v>
      </c>
      <c r="E36" s="56">
        <v>87358</v>
      </c>
      <c r="F36" s="56">
        <v>393316</v>
      </c>
      <c r="G36" s="56">
        <v>182025</v>
      </c>
      <c r="H36" s="57">
        <v>707421</v>
      </c>
    </row>
    <row r="37" spans="1:8" s="26" customFormat="1" ht="15" customHeight="1" x14ac:dyDescent="0.3">
      <c r="A37" s="87"/>
      <c r="B37" s="85"/>
      <c r="C37" s="51" t="s">
        <v>19</v>
      </c>
      <c r="D37" s="56">
        <v>53465</v>
      </c>
      <c r="E37" s="56">
        <v>83439</v>
      </c>
      <c r="F37" s="56">
        <v>341277</v>
      </c>
      <c r="G37" s="56">
        <v>162941</v>
      </c>
      <c r="H37" s="57">
        <v>641213</v>
      </c>
    </row>
    <row r="38" spans="1:8" s="26" customFormat="1" ht="15" customHeight="1" x14ac:dyDescent="0.3">
      <c r="A38" s="87"/>
      <c r="B38" s="85"/>
      <c r="C38" s="51" t="s">
        <v>26</v>
      </c>
      <c r="D38" s="56">
        <v>98158</v>
      </c>
      <c r="E38" s="56">
        <v>170860</v>
      </c>
      <c r="F38" s="56">
        <v>734872</v>
      </c>
      <c r="G38" s="56">
        <v>344981</v>
      </c>
      <c r="H38" s="57">
        <v>1349053</v>
      </c>
    </row>
    <row r="39" spans="1:8" s="26" customFormat="1" ht="15" customHeight="1" x14ac:dyDescent="0.3">
      <c r="A39" s="88" t="s">
        <v>115</v>
      </c>
      <c r="B39" s="85" t="s">
        <v>55</v>
      </c>
      <c r="C39" s="51" t="s">
        <v>18</v>
      </c>
      <c r="D39" s="56">
        <v>172</v>
      </c>
      <c r="E39" s="56">
        <v>381</v>
      </c>
      <c r="F39" s="56">
        <v>1435</v>
      </c>
      <c r="G39" s="56">
        <v>680</v>
      </c>
      <c r="H39" s="57">
        <v>2668</v>
      </c>
    </row>
    <row r="40" spans="1:8" s="26" customFormat="1" ht="15" customHeight="1" x14ac:dyDescent="0.3">
      <c r="A40" s="88"/>
      <c r="B40" s="85"/>
      <c r="C40" s="51" t="s">
        <v>19</v>
      </c>
      <c r="D40" s="56">
        <v>221</v>
      </c>
      <c r="E40" s="56">
        <v>279</v>
      </c>
      <c r="F40" s="56">
        <v>1350</v>
      </c>
      <c r="G40" s="56">
        <v>668</v>
      </c>
      <c r="H40" s="57">
        <v>2518</v>
      </c>
    </row>
    <row r="41" spans="1:8" s="26" customFormat="1" ht="15" customHeight="1" x14ac:dyDescent="0.3">
      <c r="A41" s="88"/>
      <c r="B41" s="85"/>
      <c r="C41" s="51" t="s">
        <v>26</v>
      </c>
      <c r="D41" s="56">
        <v>393</v>
      </c>
      <c r="E41" s="56">
        <v>661</v>
      </c>
      <c r="F41" s="56">
        <v>2785</v>
      </c>
      <c r="G41" s="56">
        <v>1348</v>
      </c>
      <c r="H41" s="57">
        <v>5187</v>
      </c>
    </row>
    <row r="42" spans="1:8" s="26" customFormat="1" ht="15" customHeight="1" x14ac:dyDescent="0.3">
      <c r="A42" s="88"/>
      <c r="B42" s="85" t="s">
        <v>56</v>
      </c>
      <c r="C42" s="51" t="s">
        <v>18</v>
      </c>
      <c r="D42" s="56">
        <v>175</v>
      </c>
      <c r="E42" s="56">
        <v>361</v>
      </c>
      <c r="F42" s="56">
        <v>1555</v>
      </c>
      <c r="G42" s="56">
        <v>770</v>
      </c>
      <c r="H42" s="57">
        <v>2861</v>
      </c>
    </row>
    <row r="43" spans="1:8" s="26" customFormat="1" ht="15" customHeight="1" x14ac:dyDescent="0.3">
      <c r="A43" s="88"/>
      <c r="B43" s="85"/>
      <c r="C43" s="51" t="s">
        <v>19</v>
      </c>
      <c r="D43" s="56">
        <v>178</v>
      </c>
      <c r="E43" s="56">
        <v>304</v>
      </c>
      <c r="F43" s="56">
        <v>1267</v>
      </c>
      <c r="G43" s="56">
        <v>677</v>
      </c>
      <c r="H43" s="57">
        <v>2426</v>
      </c>
    </row>
    <row r="44" spans="1:8" s="26" customFormat="1" ht="15" customHeight="1" x14ac:dyDescent="0.3">
      <c r="A44" s="88"/>
      <c r="B44" s="85"/>
      <c r="C44" s="51" t="s">
        <v>26</v>
      </c>
      <c r="D44" s="56">
        <v>353</v>
      </c>
      <c r="E44" s="56">
        <v>668</v>
      </c>
      <c r="F44" s="56">
        <v>2824</v>
      </c>
      <c r="G44" s="56">
        <v>1447</v>
      </c>
      <c r="H44" s="57">
        <v>5292</v>
      </c>
    </row>
    <row r="45" spans="1:8" s="26" customFormat="1" ht="15" customHeight="1" x14ac:dyDescent="0.3">
      <c r="A45" s="88"/>
      <c r="B45" s="85" t="s">
        <v>57</v>
      </c>
      <c r="C45" s="51" t="s">
        <v>18</v>
      </c>
      <c r="D45" s="56">
        <v>124</v>
      </c>
      <c r="E45" s="56">
        <v>311</v>
      </c>
      <c r="F45" s="56">
        <v>1493</v>
      </c>
      <c r="G45" s="56">
        <v>749</v>
      </c>
      <c r="H45" s="57">
        <v>2677</v>
      </c>
    </row>
    <row r="46" spans="1:8" s="26" customFormat="1" ht="15" customHeight="1" x14ac:dyDescent="0.3">
      <c r="A46" s="88"/>
      <c r="B46" s="85"/>
      <c r="C46" s="51" t="s">
        <v>19</v>
      </c>
      <c r="D46" s="56">
        <v>176</v>
      </c>
      <c r="E46" s="56">
        <v>308</v>
      </c>
      <c r="F46" s="56">
        <v>1412</v>
      </c>
      <c r="G46" s="56">
        <v>700</v>
      </c>
      <c r="H46" s="57">
        <v>2596</v>
      </c>
    </row>
    <row r="47" spans="1:8" s="26" customFormat="1" ht="15" customHeight="1" x14ac:dyDescent="0.3">
      <c r="A47" s="88"/>
      <c r="B47" s="85"/>
      <c r="C47" s="51" t="s">
        <v>26</v>
      </c>
      <c r="D47" s="56">
        <v>300</v>
      </c>
      <c r="E47" s="56">
        <v>619</v>
      </c>
      <c r="F47" s="56">
        <v>2905</v>
      </c>
      <c r="G47" s="56">
        <v>1449</v>
      </c>
      <c r="H47" s="57">
        <v>5273</v>
      </c>
    </row>
    <row r="48" spans="1:8" s="26" customFormat="1" ht="15" customHeight="1" x14ac:dyDescent="0.3">
      <c r="A48" s="88"/>
      <c r="B48" s="85" t="s">
        <v>58</v>
      </c>
      <c r="C48" s="51" t="s">
        <v>18</v>
      </c>
      <c r="D48" s="56">
        <v>137</v>
      </c>
      <c r="E48" s="56">
        <v>389</v>
      </c>
      <c r="F48" s="56">
        <v>1594</v>
      </c>
      <c r="G48" s="56">
        <v>842</v>
      </c>
      <c r="H48" s="57">
        <v>2962</v>
      </c>
    </row>
    <row r="49" spans="1:8" s="26" customFormat="1" ht="15" customHeight="1" x14ac:dyDescent="0.3">
      <c r="A49" s="88"/>
      <c r="B49" s="85"/>
      <c r="C49" s="51" t="s">
        <v>19</v>
      </c>
      <c r="D49" s="56">
        <v>165</v>
      </c>
      <c r="E49" s="56">
        <v>333</v>
      </c>
      <c r="F49" s="56">
        <v>1514</v>
      </c>
      <c r="G49" s="56">
        <v>756</v>
      </c>
      <c r="H49" s="57">
        <v>2768</v>
      </c>
    </row>
    <row r="50" spans="1:8" s="26" customFormat="1" ht="15" customHeight="1" x14ac:dyDescent="0.3">
      <c r="A50" s="88"/>
      <c r="B50" s="85"/>
      <c r="C50" s="51" t="s">
        <v>26</v>
      </c>
      <c r="D50" s="56">
        <v>302</v>
      </c>
      <c r="E50" s="56">
        <v>722</v>
      </c>
      <c r="F50" s="56">
        <v>3110</v>
      </c>
      <c r="G50" s="56">
        <v>1601</v>
      </c>
      <c r="H50" s="57">
        <v>5735</v>
      </c>
    </row>
    <row r="51" spans="1:8" s="26" customFormat="1" ht="15" customHeight="1" x14ac:dyDescent="0.3">
      <c r="A51" s="88"/>
      <c r="B51" s="85" t="s">
        <v>59</v>
      </c>
      <c r="C51" s="51" t="s">
        <v>18</v>
      </c>
      <c r="D51" s="56">
        <v>136</v>
      </c>
      <c r="E51" s="56">
        <v>346</v>
      </c>
      <c r="F51" s="56">
        <v>1649</v>
      </c>
      <c r="G51" s="56">
        <v>823</v>
      </c>
      <c r="H51" s="57">
        <v>2954</v>
      </c>
    </row>
    <row r="52" spans="1:8" s="26" customFormat="1" ht="15" customHeight="1" x14ac:dyDescent="0.3">
      <c r="A52" s="88"/>
      <c r="B52" s="85"/>
      <c r="C52" s="51" t="s">
        <v>19</v>
      </c>
      <c r="D52" s="56">
        <v>177</v>
      </c>
      <c r="E52" s="56">
        <v>343</v>
      </c>
      <c r="F52" s="56">
        <v>1456</v>
      </c>
      <c r="G52" s="56">
        <v>779</v>
      </c>
      <c r="H52" s="57">
        <v>2755</v>
      </c>
    </row>
    <row r="53" spans="1:8" s="26" customFormat="1" ht="15" customHeight="1" x14ac:dyDescent="0.3">
      <c r="A53" s="88"/>
      <c r="B53" s="85"/>
      <c r="C53" s="51" t="s">
        <v>26</v>
      </c>
      <c r="D53" s="56">
        <v>313</v>
      </c>
      <c r="E53" s="56">
        <v>690</v>
      </c>
      <c r="F53" s="56">
        <v>3105</v>
      </c>
      <c r="G53" s="56">
        <v>1603</v>
      </c>
      <c r="H53" s="57">
        <v>5711</v>
      </c>
    </row>
    <row r="54" spans="1:8" s="26" customFormat="1" ht="15" customHeight="1" x14ac:dyDescent="0.3">
      <c r="A54" s="88"/>
      <c r="B54" s="85" t="s">
        <v>60</v>
      </c>
      <c r="C54" s="51" t="s">
        <v>18</v>
      </c>
      <c r="D54" s="56">
        <v>137</v>
      </c>
      <c r="E54" s="56">
        <v>321</v>
      </c>
      <c r="F54" s="56">
        <v>1565</v>
      </c>
      <c r="G54" s="56">
        <v>757</v>
      </c>
      <c r="H54" s="57">
        <v>2781</v>
      </c>
    </row>
    <row r="55" spans="1:8" s="26" customFormat="1" ht="15" customHeight="1" x14ac:dyDescent="0.3">
      <c r="A55" s="88"/>
      <c r="B55" s="85"/>
      <c r="C55" s="51" t="s">
        <v>19</v>
      </c>
      <c r="D55" s="56">
        <v>187</v>
      </c>
      <c r="E55" s="56">
        <v>316</v>
      </c>
      <c r="F55" s="56">
        <v>1413</v>
      </c>
      <c r="G55" s="56">
        <v>678</v>
      </c>
      <c r="H55" s="57">
        <v>2594</v>
      </c>
    </row>
    <row r="56" spans="1:8" s="26" customFormat="1" ht="15" customHeight="1" x14ac:dyDescent="0.3">
      <c r="A56" s="88"/>
      <c r="B56" s="85"/>
      <c r="C56" s="51" t="s">
        <v>26</v>
      </c>
      <c r="D56" s="56">
        <v>324</v>
      </c>
      <c r="E56" s="56">
        <v>638</v>
      </c>
      <c r="F56" s="56">
        <v>2978</v>
      </c>
      <c r="G56" s="56">
        <v>1435</v>
      </c>
      <c r="H56" s="57">
        <v>5376</v>
      </c>
    </row>
    <row r="57" spans="1:8" s="26" customFormat="1" ht="15" customHeight="1" x14ac:dyDescent="0.3">
      <c r="A57" s="88"/>
      <c r="B57" s="85" t="s">
        <v>61</v>
      </c>
      <c r="C57" s="51" t="s">
        <v>18</v>
      </c>
      <c r="D57" s="56">
        <v>150</v>
      </c>
      <c r="E57" s="56">
        <v>367</v>
      </c>
      <c r="F57" s="56">
        <v>1562</v>
      </c>
      <c r="G57" s="56">
        <v>754</v>
      </c>
      <c r="H57" s="57">
        <v>2833</v>
      </c>
    </row>
    <row r="58" spans="1:8" s="26" customFormat="1" ht="15" customHeight="1" x14ac:dyDescent="0.3">
      <c r="A58" s="88"/>
      <c r="B58" s="85"/>
      <c r="C58" s="51" t="s">
        <v>19</v>
      </c>
      <c r="D58" s="56">
        <v>205</v>
      </c>
      <c r="E58" s="56">
        <v>345</v>
      </c>
      <c r="F58" s="56">
        <v>1347</v>
      </c>
      <c r="G58" s="56">
        <v>678</v>
      </c>
      <c r="H58" s="57">
        <v>2575</v>
      </c>
    </row>
    <row r="59" spans="1:8" s="26" customFormat="1" ht="15" customHeight="1" x14ac:dyDescent="0.3">
      <c r="A59" s="88"/>
      <c r="B59" s="85"/>
      <c r="C59" s="51" t="s">
        <v>26</v>
      </c>
      <c r="D59" s="56">
        <v>355</v>
      </c>
      <c r="E59" s="56">
        <v>713</v>
      </c>
      <c r="F59" s="56">
        <v>2909</v>
      </c>
      <c r="G59" s="56">
        <v>1432</v>
      </c>
      <c r="H59" s="57">
        <v>5409</v>
      </c>
    </row>
    <row r="60" spans="1:8" s="26" customFormat="1" ht="15" customHeight="1" x14ac:dyDescent="0.3">
      <c r="A60" s="88"/>
      <c r="B60" s="85" t="s">
        <v>62</v>
      </c>
      <c r="C60" s="51" t="s">
        <v>18</v>
      </c>
      <c r="D60" s="56">
        <v>215</v>
      </c>
      <c r="E60" s="56">
        <v>381</v>
      </c>
      <c r="F60" s="56">
        <v>1558</v>
      </c>
      <c r="G60" s="56">
        <v>703</v>
      </c>
      <c r="H60" s="57">
        <v>2857</v>
      </c>
    </row>
    <row r="61" spans="1:8" s="26" customFormat="1" ht="15" customHeight="1" x14ac:dyDescent="0.3">
      <c r="A61" s="88"/>
      <c r="B61" s="85"/>
      <c r="C61" s="51" t="s">
        <v>19</v>
      </c>
      <c r="D61" s="56">
        <v>211</v>
      </c>
      <c r="E61" s="56">
        <v>319</v>
      </c>
      <c r="F61" s="56">
        <v>1303</v>
      </c>
      <c r="G61" s="56">
        <v>667</v>
      </c>
      <c r="H61" s="57">
        <v>2500</v>
      </c>
    </row>
    <row r="62" spans="1:8" s="26" customFormat="1" ht="15" customHeight="1" x14ac:dyDescent="0.3">
      <c r="A62" s="88"/>
      <c r="B62" s="85"/>
      <c r="C62" s="51" t="s">
        <v>26</v>
      </c>
      <c r="D62" s="56">
        <v>426</v>
      </c>
      <c r="E62" s="56">
        <v>700</v>
      </c>
      <c r="F62" s="56">
        <v>2861</v>
      </c>
      <c r="G62" s="56">
        <v>1371</v>
      </c>
      <c r="H62" s="57">
        <v>5358</v>
      </c>
    </row>
    <row r="63" spans="1:8" s="26" customFormat="1" ht="15" customHeight="1" x14ac:dyDescent="0.3">
      <c r="A63" s="88"/>
      <c r="B63" s="85" t="s">
        <v>63</v>
      </c>
      <c r="C63" s="51" t="s">
        <v>18</v>
      </c>
      <c r="D63" s="56">
        <v>261</v>
      </c>
      <c r="E63" s="56">
        <v>331</v>
      </c>
      <c r="F63" s="56">
        <v>1515</v>
      </c>
      <c r="G63" s="56">
        <v>790</v>
      </c>
      <c r="H63" s="57">
        <v>2897</v>
      </c>
    </row>
    <row r="64" spans="1:8" s="26" customFormat="1" ht="15" customHeight="1" x14ac:dyDescent="0.3">
      <c r="A64" s="88"/>
      <c r="B64" s="85"/>
      <c r="C64" s="51" t="s">
        <v>19</v>
      </c>
      <c r="D64" s="56">
        <v>284</v>
      </c>
      <c r="E64" s="56">
        <v>358</v>
      </c>
      <c r="F64" s="56">
        <v>1265</v>
      </c>
      <c r="G64" s="56">
        <v>692</v>
      </c>
      <c r="H64" s="57">
        <v>2599</v>
      </c>
    </row>
    <row r="65" spans="1:8" s="26" customFormat="1" ht="15" customHeight="1" x14ac:dyDescent="0.3">
      <c r="A65" s="88"/>
      <c r="B65" s="85"/>
      <c r="C65" s="51" t="s">
        <v>26</v>
      </c>
      <c r="D65" s="56">
        <v>545</v>
      </c>
      <c r="E65" s="56">
        <v>689</v>
      </c>
      <c r="F65" s="56">
        <v>2780</v>
      </c>
      <c r="G65" s="56">
        <v>1482</v>
      </c>
      <c r="H65" s="57">
        <v>5496</v>
      </c>
    </row>
    <row r="66" spans="1:8" s="26" customFormat="1" ht="15" customHeight="1" x14ac:dyDescent="0.3">
      <c r="A66" s="88"/>
      <c r="B66" s="85" t="s">
        <v>64</v>
      </c>
      <c r="C66" s="51" t="s">
        <v>18</v>
      </c>
      <c r="D66" s="56">
        <v>212</v>
      </c>
      <c r="E66" s="56">
        <v>328</v>
      </c>
      <c r="F66" s="56">
        <v>1584</v>
      </c>
      <c r="G66" s="56">
        <v>725</v>
      </c>
      <c r="H66" s="57">
        <v>2849</v>
      </c>
    </row>
    <row r="67" spans="1:8" s="26" customFormat="1" ht="15" customHeight="1" x14ac:dyDescent="0.3">
      <c r="A67" s="88"/>
      <c r="B67" s="85"/>
      <c r="C67" s="51" t="s">
        <v>19</v>
      </c>
      <c r="D67" s="56">
        <v>262</v>
      </c>
      <c r="E67" s="56">
        <v>273</v>
      </c>
      <c r="F67" s="56">
        <v>1372</v>
      </c>
      <c r="G67" s="56">
        <v>684</v>
      </c>
      <c r="H67" s="57">
        <v>2591</v>
      </c>
    </row>
    <row r="68" spans="1:8" s="26" customFormat="1" ht="15" customHeight="1" x14ac:dyDescent="0.3">
      <c r="A68" s="88"/>
      <c r="B68" s="85"/>
      <c r="C68" s="51" t="s">
        <v>26</v>
      </c>
      <c r="D68" s="56">
        <v>474</v>
      </c>
      <c r="E68" s="56">
        <v>601</v>
      </c>
      <c r="F68" s="56">
        <v>2957</v>
      </c>
      <c r="G68" s="56">
        <v>1409</v>
      </c>
      <c r="H68" s="57">
        <v>5441</v>
      </c>
    </row>
    <row r="69" spans="1:8" s="26" customFormat="1" ht="15" customHeight="1" x14ac:dyDescent="0.3">
      <c r="A69" s="88"/>
      <c r="B69" s="85" t="s">
        <v>65</v>
      </c>
      <c r="C69" s="51" t="s">
        <v>18</v>
      </c>
      <c r="D69" s="58">
        <v>178</v>
      </c>
      <c r="E69" s="58">
        <v>306</v>
      </c>
      <c r="F69" s="58">
        <v>1429</v>
      </c>
      <c r="G69" s="58">
        <v>663</v>
      </c>
      <c r="H69" s="60">
        <v>2576</v>
      </c>
    </row>
    <row r="70" spans="1:8" s="26" customFormat="1" ht="15" customHeight="1" x14ac:dyDescent="0.3">
      <c r="A70" s="88"/>
      <c r="B70" s="85"/>
      <c r="C70" s="51" t="s">
        <v>19</v>
      </c>
      <c r="D70" s="58">
        <v>220</v>
      </c>
      <c r="E70" s="58">
        <v>264</v>
      </c>
      <c r="F70" s="58">
        <v>1206</v>
      </c>
      <c r="G70" s="58">
        <v>685</v>
      </c>
      <c r="H70" s="60">
        <v>2375</v>
      </c>
    </row>
    <row r="71" spans="1:8" s="26" customFormat="1" ht="15" customHeight="1" x14ac:dyDescent="0.3">
      <c r="A71" s="88"/>
      <c r="B71" s="85"/>
      <c r="C71" s="51" t="s">
        <v>26</v>
      </c>
      <c r="D71" s="58">
        <v>398</v>
      </c>
      <c r="E71" s="58">
        <v>570</v>
      </c>
      <c r="F71" s="58">
        <v>2636</v>
      </c>
      <c r="G71" s="58">
        <v>1348</v>
      </c>
      <c r="H71" s="60">
        <v>4952</v>
      </c>
    </row>
    <row r="72" spans="1:8" s="26" customFormat="1" ht="15" customHeight="1" x14ac:dyDescent="0.3">
      <c r="A72" s="88"/>
      <c r="B72" s="85" t="s">
        <v>66</v>
      </c>
      <c r="C72" s="51" t="s">
        <v>18</v>
      </c>
      <c r="D72" s="56">
        <v>207</v>
      </c>
      <c r="E72" s="56">
        <v>319</v>
      </c>
      <c r="F72" s="56">
        <v>1686</v>
      </c>
      <c r="G72" s="56">
        <v>807</v>
      </c>
      <c r="H72" s="57">
        <v>3019</v>
      </c>
    </row>
    <row r="73" spans="1:8" s="26" customFormat="1" ht="15" customHeight="1" x14ac:dyDescent="0.3">
      <c r="A73" s="88"/>
      <c r="B73" s="85"/>
      <c r="C73" s="51" t="s">
        <v>19</v>
      </c>
      <c r="D73" s="56">
        <v>267</v>
      </c>
      <c r="E73" s="56">
        <v>293</v>
      </c>
      <c r="F73" s="56">
        <v>1331</v>
      </c>
      <c r="G73" s="56">
        <v>688</v>
      </c>
      <c r="H73" s="57">
        <v>2579</v>
      </c>
    </row>
    <row r="74" spans="1:8" s="26" customFormat="1" ht="15" customHeight="1" x14ac:dyDescent="0.3">
      <c r="A74" s="88"/>
      <c r="B74" s="85"/>
      <c r="C74" s="51" t="s">
        <v>26</v>
      </c>
      <c r="D74" s="56">
        <v>474</v>
      </c>
      <c r="E74" s="56">
        <v>612</v>
      </c>
      <c r="F74" s="56">
        <v>3017</v>
      </c>
      <c r="G74" s="56">
        <v>1495</v>
      </c>
      <c r="H74" s="57">
        <v>5598</v>
      </c>
    </row>
    <row r="75" spans="1:8" s="26" customFormat="1" ht="15" customHeight="1" x14ac:dyDescent="0.3">
      <c r="A75" s="88" t="s">
        <v>116</v>
      </c>
      <c r="B75" s="85" t="s">
        <v>55</v>
      </c>
      <c r="C75" s="51" t="s">
        <v>18</v>
      </c>
      <c r="D75" s="56">
        <v>1082</v>
      </c>
      <c r="E75" s="56">
        <v>2117</v>
      </c>
      <c r="F75" s="56">
        <v>7344</v>
      </c>
      <c r="G75" s="56">
        <v>3437</v>
      </c>
      <c r="H75" s="57">
        <v>13980</v>
      </c>
    </row>
    <row r="76" spans="1:8" s="26" customFormat="1" ht="15" customHeight="1" x14ac:dyDescent="0.3">
      <c r="A76" s="88"/>
      <c r="B76" s="85"/>
      <c r="C76" s="51" t="s">
        <v>19</v>
      </c>
      <c r="D76" s="56">
        <v>1347</v>
      </c>
      <c r="E76" s="56">
        <v>1988</v>
      </c>
      <c r="F76" s="56">
        <v>6135</v>
      </c>
      <c r="G76" s="56">
        <v>3098</v>
      </c>
      <c r="H76" s="57">
        <v>12568</v>
      </c>
    </row>
    <row r="77" spans="1:8" s="26" customFormat="1" ht="15" customHeight="1" x14ac:dyDescent="0.3">
      <c r="A77" s="88"/>
      <c r="B77" s="85"/>
      <c r="C77" s="51" t="s">
        <v>26</v>
      </c>
      <c r="D77" s="56">
        <v>2429</v>
      </c>
      <c r="E77" s="56">
        <v>4105</v>
      </c>
      <c r="F77" s="56">
        <v>13479</v>
      </c>
      <c r="G77" s="56">
        <v>6535</v>
      </c>
      <c r="H77" s="57">
        <v>26548</v>
      </c>
    </row>
    <row r="78" spans="1:8" s="26" customFormat="1" ht="15" customHeight="1" x14ac:dyDescent="0.3">
      <c r="A78" s="88"/>
      <c r="B78" s="85" t="s">
        <v>56</v>
      </c>
      <c r="C78" s="51" t="s">
        <v>18</v>
      </c>
      <c r="D78" s="56">
        <v>930</v>
      </c>
      <c r="E78" s="56">
        <v>2015</v>
      </c>
      <c r="F78" s="56">
        <v>7412</v>
      </c>
      <c r="G78" s="56">
        <v>3786</v>
      </c>
      <c r="H78" s="57">
        <v>14143</v>
      </c>
    </row>
    <row r="79" spans="1:8" s="26" customFormat="1" ht="15" customHeight="1" x14ac:dyDescent="0.3">
      <c r="A79" s="88"/>
      <c r="B79" s="85"/>
      <c r="C79" s="51" t="s">
        <v>19</v>
      </c>
      <c r="D79" s="56">
        <v>1185</v>
      </c>
      <c r="E79" s="56">
        <v>1927</v>
      </c>
      <c r="F79" s="56">
        <v>6408</v>
      </c>
      <c r="G79" s="56">
        <v>3169</v>
      </c>
      <c r="H79" s="57">
        <v>12689</v>
      </c>
    </row>
    <row r="80" spans="1:8" s="26" customFormat="1" ht="15" customHeight="1" x14ac:dyDescent="0.3">
      <c r="A80" s="88"/>
      <c r="B80" s="85"/>
      <c r="C80" s="51" t="s">
        <v>26</v>
      </c>
      <c r="D80" s="56">
        <v>2115</v>
      </c>
      <c r="E80" s="56">
        <v>3942</v>
      </c>
      <c r="F80" s="56">
        <v>13820</v>
      </c>
      <c r="G80" s="56">
        <v>6955</v>
      </c>
      <c r="H80" s="57">
        <v>26832</v>
      </c>
    </row>
    <row r="81" spans="1:8" s="26" customFormat="1" ht="15" customHeight="1" x14ac:dyDescent="0.3">
      <c r="A81" s="88"/>
      <c r="B81" s="85" t="s">
        <v>57</v>
      </c>
      <c r="C81" s="51" t="s">
        <v>18</v>
      </c>
      <c r="D81" s="56">
        <v>769</v>
      </c>
      <c r="E81" s="56">
        <v>1888</v>
      </c>
      <c r="F81" s="56">
        <v>7164</v>
      </c>
      <c r="G81" s="56">
        <v>3629</v>
      </c>
      <c r="H81" s="57">
        <v>13450</v>
      </c>
    </row>
    <row r="82" spans="1:8" s="26" customFormat="1" ht="15" customHeight="1" x14ac:dyDescent="0.3">
      <c r="A82" s="88"/>
      <c r="B82" s="85"/>
      <c r="C82" s="51" t="s">
        <v>19</v>
      </c>
      <c r="D82" s="56">
        <v>909</v>
      </c>
      <c r="E82" s="56">
        <v>1776</v>
      </c>
      <c r="F82" s="56">
        <v>6351</v>
      </c>
      <c r="G82" s="56">
        <v>3270</v>
      </c>
      <c r="H82" s="57">
        <v>12306</v>
      </c>
    </row>
    <row r="83" spans="1:8" s="26" customFormat="1" ht="15" customHeight="1" x14ac:dyDescent="0.3">
      <c r="A83" s="88"/>
      <c r="B83" s="85"/>
      <c r="C83" s="51" t="s">
        <v>26</v>
      </c>
      <c r="D83" s="56">
        <v>1678</v>
      </c>
      <c r="E83" s="56">
        <v>3664</v>
      </c>
      <c r="F83" s="56">
        <v>13515</v>
      </c>
      <c r="G83" s="56">
        <v>6899</v>
      </c>
      <c r="H83" s="57">
        <v>25756</v>
      </c>
    </row>
    <row r="84" spans="1:8" s="26" customFormat="1" ht="15" customHeight="1" x14ac:dyDescent="0.3">
      <c r="A84" s="88"/>
      <c r="B84" s="85" t="s">
        <v>58</v>
      </c>
      <c r="C84" s="51" t="s">
        <v>18</v>
      </c>
      <c r="D84" s="56">
        <v>815</v>
      </c>
      <c r="E84" s="56">
        <v>1716</v>
      </c>
      <c r="F84" s="56">
        <v>7923</v>
      </c>
      <c r="G84" s="56">
        <v>3963</v>
      </c>
      <c r="H84" s="57">
        <v>14417</v>
      </c>
    </row>
    <row r="85" spans="1:8" s="26" customFormat="1" ht="15" customHeight="1" x14ac:dyDescent="0.3">
      <c r="A85" s="88"/>
      <c r="B85" s="85"/>
      <c r="C85" s="51" t="s">
        <v>19</v>
      </c>
      <c r="D85" s="56">
        <v>953</v>
      </c>
      <c r="E85" s="56">
        <v>1742</v>
      </c>
      <c r="F85" s="56">
        <v>7255</v>
      </c>
      <c r="G85" s="56">
        <v>3461</v>
      </c>
      <c r="H85" s="57">
        <v>13411</v>
      </c>
    </row>
    <row r="86" spans="1:8" s="26" customFormat="1" ht="15" customHeight="1" x14ac:dyDescent="0.3">
      <c r="A86" s="88"/>
      <c r="B86" s="85"/>
      <c r="C86" s="51" t="s">
        <v>26</v>
      </c>
      <c r="D86" s="56">
        <v>1768</v>
      </c>
      <c r="E86" s="56">
        <v>3458</v>
      </c>
      <c r="F86" s="56">
        <v>15178</v>
      </c>
      <c r="G86" s="56">
        <v>7424</v>
      </c>
      <c r="H86" s="57">
        <v>27828</v>
      </c>
    </row>
    <row r="87" spans="1:8" s="26" customFormat="1" ht="15" customHeight="1" x14ac:dyDescent="0.3">
      <c r="A87" s="88"/>
      <c r="B87" s="85" t="s">
        <v>59</v>
      </c>
      <c r="C87" s="51" t="s">
        <v>18</v>
      </c>
      <c r="D87" s="56">
        <v>756</v>
      </c>
      <c r="E87" s="56">
        <v>1695</v>
      </c>
      <c r="F87" s="56">
        <v>7708</v>
      </c>
      <c r="G87" s="56">
        <v>3918</v>
      </c>
      <c r="H87" s="57">
        <v>14077</v>
      </c>
    </row>
    <row r="88" spans="1:8" s="26" customFormat="1" ht="15" customHeight="1" x14ac:dyDescent="0.3">
      <c r="A88" s="88"/>
      <c r="B88" s="85"/>
      <c r="C88" s="51" t="s">
        <v>19</v>
      </c>
      <c r="D88" s="56">
        <v>916</v>
      </c>
      <c r="E88" s="56">
        <v>1643</v>
      </c>
      <c r="F88" s="56">
        <v>6899</v>
      </c>
      <c r="G88" s="56">
        <v>3510</v>
      </c>
      <c r="H88" s="57">
        <v>12968</v>
      </c>
    </row>
    <row r="89" spans="1:8" s="26" customFormat="1" ht="15" customHeight="1" x14ac:dyDescent="0.3">
      <c r="A89" s="88"/>
      <c r="B89" s="85"/>
      <c r="C89" s="51" t="s">
        <v>26</v>
      </c>
      <c r="D89" s="56">
        <v>1672</v>
      </c>
      <c r="E89" s="56">
        <v>3338</v>
      </c>
      <c r="F89" s="56">
        <v>14607</v>
      </c>
      <c r="G89" s="56">
        <v>7428</v>
      </c>
      <c r="H89" s="57">
        <v>27045</v>
      </c>
    </row>
    <row r="90" spans="1:8" s="26" customFormat="1" ht="15" customHeight="1" x14ac:dyDescent="0.3">
      <c r="A90" s="88"/>
      <c r="B90" s="85" t="s">
        <v>60</v>
      </c>
      <c r="C90" s="51" t="s">
        <v>18</v>
      </c>
      <c r="D90" s="56">
        <v>773</v>
      </c>
      <c r="E90" s="56">
        <v>1870</v>
      </c>
      <c r="F90" s="56">
        <v>7301</v>
      </c>
      <c r="G90" s="56">
        <v>3671</v>
      </c>
      <c r="H90" s="57">
        <v>13615</v>
      </c>
    </row>
    <row r="91" spans="1:8" s="26" customFormat="1" ht="15" customHeight="1" x14ac:dyDescent="0.3">
      <c r="A91" s="88"/>
      <c r="B91" s="85"/>
      <c r="C91" s="51" t="s">
        <v>19</v>
      </c>
      <c r="D91" s="56">
        <v>1020</v>
      </c>
      <c r="E91" s="56">
        <v>1880</v>
      </c>
      <c r="F91" s="56">
        <v>6316</v>
      </c>
      <c r="G91" s="56">
        <v>3138</v>
      </c>
      <c r="H91" s="57">
        <v>12354</v>
      </c>
    </row>
    <row r="92" spans="1:8" s="26" customFormat="1" ht="15" customHeight="1" x14ac:dyDescent="0.3">
      <c r="A92" s="88"/>
      <c r="B92" s="85"/>
      <c r="C92" s="51" t="s">
        <v>26</v>
      </c>
      <c r="D92" s="56">
        <v>1793</v>
      </c>
      <c r="E92" s="56">
        <v>3750</v>
      </c>
      <c r="F92" s="56">
        <v>13618</v>
      </c>
      <c r="G92" s="56">
        <v>6809</v>
      </c>
      <c r="H92" s="57">
        <v>25970</v>
      </c>
    </row>
    <row r="93" spans="1:8" s="26" customFormat="1" ht="15" customHeight="1" x14ac:dyDescent="0.3">
      <c r="A93" s="88"/>
      <c r="B93" s="85" t="s">
        <v>61</v>
      </c>
      <c r="C93" s="51" t="s">
        <v>18</v>
      </c>
      <c r="D93" s="56">
        <v>1086</v>
      </c>
      <c r="E93" s="56">
        <v>2153</v>
      </c>
      <c r="F93" s="56">
        <v>7599</v>
      </c>
      <c r="G93" s="56">
        <v>3562</v>
      </c>
      <c r="H93" s="57">
        <v>14400</v>
      </c>
    </row>
    <row r="94" spans="1:8" s="26" customFormat="1" ht="15" customHeight="1" x14ac:dyDescent="0.3">
      <c r="A94" s="88"/>
      <c r="B94" s="85"/>
      <c r="C94" s="51" t="s">
        <v>19</v>
      </c>
      <c r="D94" s="56">
        <v>1180</v>
      </c>
      <c r="E94" s="56">
        <v>2076</v>
      </c>
      <c r="F94" s="56">
        <v>6367</v>
      </c>
      <c r="G94" s="56">
        <v>3230</v>
      </c>
      <c r="H94" s="57">
        <v>12853</v>
      </c>
    </row>
    <row r="95" spans="1:8" s="26" customFormat="1" ht="15" customHeight="1" x14ac:dyDescent="0.3">
      <c r="A95" s="88"/>
      <c r="B95" s="85"/>
      <c r="C95" s="51" t="s">
        <v>26</v>
      </c>
      <c r="D95" s="56">
        <v>2266</v>
      </c>
      <c r="E95" s="56">
        <v>4229</v>
      </c>
      <c r="F95" s="56">
        <v>13966</v>
      </c>
      <c r="G95" s="56">
        <v>6792</v>
      </c>
      <c r="H95" s="57">
        <v>27253</v>
      </c>
    </row>
    <row r="96" spans="1:8" s="26" customFormat="1" ht="15" customHeight="1" x14ac:dyDescent="0.3">
      <c r="A96" s="88"/>
      <c r="B96" s="85" t="s">
        <v>62</v>
      </c>
      <c r="C96" s="51" t="s">
        <v>18</v>
      </c>
      <c r="D96" s="56">
        <v>1190</v>
      </c>
      <c r="E96" s="56">
        <v>2112</v>
      </c>
      <c r="F96" s="56">
        <v>7407</v>
      </c>
      <c r="G96" s="56">
        <v>3399</v>
      </c>
      <c r="H96" s="57">
        <v>14108</v>
      </c>
    </row>
    <row r="97" spans="1:8" s="26" customFormat="1" ht="15" customHeight="1" x14ac:dyDescent="0.3">
      <c r="A97" s="88"/>
      <c r="B97" s="85"/>
      <c r="C97" s="51" t="s">
        <v>19</v>
      </c>
      <c r="D97" s="56">
        <v>1323</v>
      </c>
      <c r="E97" s="56">
        <v>2123</v>
      </c>
      <c r="F97" s="56">
        <v>6283</v>
      </c>
      <c r="G97" s="56">
        <v>3118</v>
      </c>
      <c r="H97" s="57">
        <v>12848</v>
      </c>
    </row>
    <row r="98" spans="1:8" s="26" customFormat="1" ht="15" customHeight="1" x14ac:dyDescent="0.3">
      <c r="A98" s="88"/>
      <c r="B98" s="85"/>
      <c r="C98" s="51" t="s">
        <v>26</v>
      </c>
      <c r="D98" s="56">
        <v>2513</v>
      </c>
      <c r="E98" s="56">
        <v>4235</v>
      </c>
      <c r="F98" s="56">
        <v>13690</v>
      </c>
      <c r="G98" s="56">
        <v>6517</v>
      </c>
      <c r="H98" s="57">
        <v>26956</v>
      </c>
    </row>
    <row r="99" spans="1:8" s="26" customFormat="1" ht="15" customHeight="1" x14ac:dyDescent="0.3">
      <c r="A99" s="88"/>
      <c r="B99" s="85" t="s">
        <v>63</v>
      </c>
      <c r="C99" s="51" t="s">
        <v>18</v>
      </c>
      <c r="D99" s="56">
        <v>1464</v>
      </c>
      <c r="E99" s="56">
        <v>1995</v>
      </c>
      <c r="F99" s="56">
        <v>7461</v>
      </c>
      <c r="G99" s="56">
        <v>3522</v>
      </c>
      <c r="H99" s="57">
        <v>14442</v>
      </c>
    </row>
    <row r="100" spans="1:8" s="26" customFormat="1" ht="15" customHeight="1" x14ac:dyDescent="0.3">
      <c r="A100" s="88"/>
      <c r="B100" s="85"/>
      <c r="C100" s="51" t="s">
        <v>19</v>
      </c>
      <c r="D100" s="56">
        <v>1768</v>
      </c>
      <c r="E100" s="56">
        <v>1951</v>
      </c>
      <c r="F100" s="56">
        <v>6307</v>
      </c>
      <c r="G100" s="56">
        <v>3232</v>
      </c>
      <c r="H100" s="57">
        <v>13258</v>
      </c>
    </row>
    <row r="101" spans="1:8" s="26" customFormat="1" ht="15" customHeight="1" x14ac:dyDescent="0.3">
      <c r="A101" s="88"/>
      <c r="B101" s="85"/>
      <c r="C101" s="51" t="s">
        <v>26</v>
      </c>
      <c r="D101" s="56">
        <v>3232</v>
      </c>
      <c r="E101" s="56">
        <v>3946</v>
      </c>
      <c r="F101" s="56">
        <v>13768</v>
      </c>
      <c r="G101" s="56">
        <v>6754</v>
      </c>
      <c r="H101" s="57">
        <v>27700</v>
      </c>
    </row>
    <row r="102" spans="1:8" s="26" customFormat="1" ht="15" customHeight="1" x14ac:dyDescent="0.3">
      <c r="A102" s="88"/>
      <c r="B102" s="85" t="s">
        <v>64</v>
      </c>
      <c r="C102" s="51" t="s">
        <v>18</v>
      </c>
      <c r="D102" s="56">
        <v>1325</v>
      </c>
      <c r="E102" s="56">
        <v>1975</v>
      </c>
      <c r="F102" s="56">
        <v>7473</v>
      </c>
      <c r="G102" s="56">
        <v>3435</v>
      </c>
      <c r="H102" s="57">
        <v>14208</v>
      </c>
    </row>
    <row r="103" spans="1:8" s="26" customFormat="1" ht="15" customHeight="1" x14ac:dyDescent="0.3">
      <c r="A103" s="88"/>
      <c r="B103" s="85"/>
      <c r="C103" s="51" t="s">
        <v>19</v>
      </c>
      <c r="D103" s="56">
        <v>1534</v>
      </c>
      <c r="E103" s="56">
        <v>1883</v>
      </c>
      <c r="F103" s="56">
        <v>6349</v>
      </c>
      <c r="G103" s="56">
        <v>3118</v>
      </c>
      <c r="H103" s="57">
        <v>12884</v>
      </c>
    </row>
    <row r="104" spans="1:8" s="26" customFormat="1" ht="15" customHeight="1" x14ac:dyDescent="0.3">
      <c r="A104" s="88"/>
      <c r="B104" s="85"/>
      <c r="C104" s="51" t="s">
        <v>26</v>
      </c>
      <c r="D104" s="56">
        <v>2859</v>
      </c>
      <c r="E104" s="56">
        <v>3858</v>
      </c>
      <c r="F104" s="56">
        <v>13822</v>
      </c>
      <c r="G104" s="56">
        <v>6553</v>
      </c>
      <c r="H104" s="57">
        <v>27092</v>
      </c>
    </row>
    <row r="105" spans="1:8" s="26" customFormat="1" ht="15" customHeight="1" x14ac:dyDescent="0.3">
      <c r="A105" s="88"/>
      <c r="B105" s="85" t="s">
        <v>65</v>
      </c>
      <c r="C105" s="51" t="s">
        <v>18</v>
      </c>
      <c r="D105" s="56">
        <v>1152</v>
      </c>
      <c r="E105" s="56">
        <v>2010</v>
      </c>
      <c r="F105" s="56">
        <v>6890</v>
      </c>
      <c r="G105" s="56">
        <v>3110</v>
      </c>
      <c r="H105" s="57">
        <v>13162</v>
      </c>
    </row>
    <row r="106" spans="1:8" s="26" customFormat="1" ht="15" customHeight="1" x14ac:dyDescent="0.3">
      <c r="A106" s="88"/>
      <c r="B106" s="85"/>
      <c r="C106" s="51" t="s">
        <v>19</v>
      </c>
      <c r="D106" s="56">
        <v>1385</v>
      </c>
      <c r="E106" s="56">
        <v>1821</v>
      </c>
      <c r="F106" s="56">
        <v>5768</v>
      </c>
      <c r="G106" s="56">
        <v>2951</v>
      </c>
      <c r="H106" s="57">
        <v>11925</v>
      </c>
    </row>
    <row r="107" spans="1:8" s="26" customFormat="1" ht="15" customHeight="1" x14ac:dyDescent="0.3">
      <c r="A107" s="88"/>
      <c r="B107" s="85"/>
      <c r="C107" s="51" t="s">
        <v>26</v>
      </c>
      <c r="D107" s="56">
        <v>2537</v>
      </c>
      <c r="E107" s="56">
        <v>3831</v>
      </c>
      <c r="F107" s="56">
        <v>12658</v>
      </c>
      <c r="G107" s="56">
        <v>6061</v>
      </c>
      <c r="H107" s="57">
        <v>25087</v>
      </c>
    </row>
    <row r="108" spans="1:8" s="26" customFormat="1" ht="15" customHeight="1" x14ac:dyDescent="0.3">
      <c r="A108" s="88"/>
      <c r="B108" s="85" t="s">
        <v>66</v>
      </c>
      <c r="C108" s="51" t="s">
        <v>18</v>
      </c>
      <c r="D108" s="56">
        <v>1315</v>
      </c>
      <c r="E108" s="56">
        <v>2052</v>
      </c>
      <c r="F108" s="56">
        <v>7777</v>
      </c>
      <c r="G108" s="56">
        <v>3799</v>
      </c>
      <c r="H108" s="57">
        <v>14943</v>
      </c>
    </row>
    <row r="109" spans="1:8" s="26" customFormat="1" ht="15" customHeight="1" x14ac:dyDescent="0.3">
      <c r="A109" s="88"/>
      <c r="B109" s="85"/>
      <c r="C109" s="51" t="s">
        <v>19</v>
      </c>
      <c r="D109" s="56">
        <v>1481</v>
      </c>
      <c r="E109" s="56">
        <v>1935</v>
      </c>
      <c r="F109" s="56">
        <v>6197</v>
      </c>
      <c r="G109" s="56">
        <v>3346</v>
      </c>
      <c r="H109" s="57">
        <v>12959</v>
      </c>
    </row>
    <row r="110" spans="1:8" s="26" customFormat="1" ht="15" customHeight="1" x14ac:dyDescent="0.3">
      <c r="A110" s="88"/>
      <c r="B110" s="85"/>
      <c r="C110" s="51" t="s">
        <v>26</v>
      </c>
      <c r="D110" s="56">
        <v>2796</v>
      </c>
      <c r="E110" s="56">
        <v>3987</v>
      </c>
      <c r="F110" s="56">
        <v>13974</v>
      </c>
      <c r="G110" s="56">
        <v>7145</v>
      </c>
      <c r="H110" s="57">
        <v>27902</v>
      </c>
    </row>
    <row r="111" spans="1:8" s="26" customFormat="1" ht="15" customHeight="1" x14ac:dyDescent="0.3">
      <c r="A111" s="88" t="s">
        <v>27</v>
      </c>
      <c r="B111" s="85" t="s">
        <v>55</v>
      </c>
      <c r="C111" s="51" t="s">
        <v>18</v>
      </c>
      <c r="D111" s="56">
        <v>10960</v>
      </c>
      <c r="E111" s="56">
        <v>20144</v>
      </c>
      <c r="F111" s="56">
        <v>82222</v>
      </c>
      <c r="G111" s="56">
        <v>45856</v>
      </c>
      <c r="H111" s="57">
        <v>159190</v>
      </c>
    </row>
    <row r="112" spans="1:8" s="26" customFormat="1" ht="15" customHeight="1" x14ac:dyDescent="0.3">
      <c r="A112" s="88"/>
      <c r="B112" s="85"/>
      <c r="C112" s="51" t="s">
        <v>19</v>
      </c>
      <c r="D112" s="56">
        <v>13494</v>
      </c>
      <c r="E112" s="56">
        <v>18221</v>
      </c>
      <c r="F112" s="56">
        <v>75655</v>
      </c>
      <c r="G112" s="56">
        <v>40086</v>
      </c>
      <c r="H112" s="57">
        <v>147471</v>
      </c>
    </row>
    <row r="113" spans="1:8" s="26" customFormat="1" ht="15" customHeight="1" x14ac:dyDescent="0.3">
      <c r="A113" s="88"/>
      <c r="B113" s="85"/>
      <c r="C113" s="51" t="s">
        <v>26</v>
      </c>
      <c r="D113" s="56">
        <v>24466</v>
      </c>
      <c r="E113" s="56">
        <v>38388</v>
      </c>
      <c r="F113" s="56">
        <v>157974</v>
      </c>
      <c r="G113" s="56">
        <v>85950</v>
      </c>
      <c r="H113" s="57">
        <v>306807</v>
      </c>
    </row>
    <row r="114" spans="1:8" s="26" customFormat="1" ht="15" customHeight="1" x14ac:dyDescent="0.3">
      <c r="A114" s="88"/>
      <c r="B114" s="85" t="s">
        <v>56</v>
      </c>
      <c r="C114" s="51" t="s">
        <v>18</v>
      </c>
      <c r="D114" s="56">
        <v>10146</v>
      </c>
      <c r="E114" s="56">
        <v>20487</v>
      </c>
      <c r="F114" s="56">
        <v>85576</v>
      </c>
      <c r="G114" s="56">
        <v>49813</v>
      </c>
      <c r="H114" s="57">
        <v>166029</v>
      </c>
    </row>
    <row r="115" spans="1:8" s="26" customFormat="1" ht="15" customHeight="1" x14ac:dyDescent="0.3">
      <c r="A115" s="88"/>
      <c r="B115" s="85"/>
      <c r="C115" s="51" t="s">
        <v>19</v>
      </c>
      <c r="D115" s="56">
        <v>12739</v>
      </c>
      <c r="E115" s="56">
        <v>19948</v>
      </c>
      <c r="F115" s="56">
        <v>80887</v>
      </c>
      <c r="G115" s="56">
        <v>44306</v>
      </c>
      <c r="H115" s="57">
        <v>157891</v>
      </c>
    </row>
    <row r="116" spans="1:8" s="26" customFormat="1" ht="15" customHeight="1" x14ac:dyDescent="0.3">
      <c r="A116" s="88"/>
      <c r="B116" s="85"/>
      <c r="C116" s="51" t="s">
        <v>26</v>
      </c>
      <c r="D116" s="56">
        <v>22898</v>
      </c>
      <c r="E116" s="56">
        <v>40459</v>
      </c>
      <c r="F116" s="56">
        <v>166579</v>
      </c>
      <c r="G116" s="56">
        <v>94123</v>
      </c>
      <c r="H116" s="57">
        <v>324081</v>
      </c>
    </row>
    <row r="117" spans="1:8" s="26" customFormat="1" ht="15" customHeight="1" x14ac:dyDescent="0.3">
      <c r="A117" s="88"/>
      <c r="B117" s="85" t="s">
        <v>57</v>
      </c>
      <c r="C117" s="51" t="s">
        <v>18</v>
      </c>
      <c r="D117" s="56">
        <v>8972</v>
      </c>
      <c r="E117" s="56">
        <v>18092</v>
      </c>
      <c r="F117" s="56">
        <v>81296</v>
      </c>
      <c r="G117" s="56">
        <v>46777</v>
      </c>
      <c r="H117" s="57">
        <v>155143</v>
      </c>
    </row>
    <row r="118" spans="1:8" s="26" customFormat="1" ht="15" customHeight="1" x14ac:dyDescent="0.3">
      <c r="A118" s="88"/>
      <c r="B118" s="85"/>
      <c r="C118" s="51" t="s">
        <v>19</v>
      </c>
      <c r="D118" s="56">
        <v>11176</v>
      </c>
      <c r="E118" s="56">
        <v>17608</v>
      </c>
      <c r="F118" s="56">
        <v>78103</v>
      </c>
      <c r="G118" s="56">
        <v>42011</v>
      </c>
      <c r="H118" s="57">
        <v>148908</v>
      </c>
    </row>
    <row r="119" spans="1:8" s="26" customFormat="1" ht="15" customHeight="1" x14ac:dyDescent="0.3">
      <c r="A119" s="88"/>
      <c r="B119" s="85"/>
      <c r="C119" s="51" t="s">
        <v>26</v>
      </c>
      <c r="D119" s="56">
        <v>20162</v>
      </c>
      <c r="E119" s="56">
        <v>35717</v>
      </c>
      <c r="F119" s="56">
        <v>159544</v>
      </c>
      <c r="G119" s="56">
        <v>88806</v>
      </c>
      <c r="H119" s="57">
        <v>304250</v>
      </c>
    </row>
    <row r="120" spans="1:8" s="26" customFormat="1" ht="15" customHeight="1" x14ac:dyDescent="0.3">
      <c r="A120" s="88"/>
      <c r="B120" s="85" t="s">
        <v>58</v>
      </c>
      <c r="C120" s="51" t="s">
        <v>18</v>
      </c>
      <c r="D120" s="56">
        <v>9128</v>
      </c>
      <c r="E120" s="56">
        <v>18322</v>
      </c>
      <c r="F120" s="56">
        <v>88235</v>
      </c>
      <c r="G120" s="56">
        <v>51000</v>
      </c>
      <c r="H120" s="57">
        <v>166695</v>
      </c>
    </row>
    <row r="121" spans="1:8" s="26" customFormat="1" ht="15" customHeight="1" x14ac:dyDescent="0.3">
      <c r="A121" s="88"/>
      <c r="B121" s="85"/>
      <c r="C121" s="51" t="s">
        <v>19</v>
      </c>
      <c r="D121" s="56">
        <v>11105</v>
      </c>
      <c r="E121" s="56">
        <v>17315</v>
      </c>
      <c r="F121" s="56">
        <v>84225</v>
      </c>
      <c r="G121" s="56">
        <v>45666</v>
      </c>
      <c r="H121" s="57">
        <v>158333</v>
      </c>
    </row>
    <row r="122" spans="1:8" s="26" customFormat="1" ht="15" customHeight="1" x14ac:dyDescent="0.3">
      <c r="A122" s="88"/>
      <c r="B122" s="85"/>
      <c r="C122" s="51" t="s">
        <v>26</v>
      </c>
      <c r="D122" s="56">
        <v>20252</v>
      </c>
      <c r="E122" s="56">
        <v>35669</v>
      </c>
      <c r="F122" s="56">
        <v>172609</v>
      </c>
      <c r="G122" s="56">
        <v>96682</v>
      </c>
      <c r="H122" s="57">
        <v>325250</v>
      </c>
    </row>
    <row r="123" spans="1:8" s="26" customFormat="1" ht="15" customHeight="1" x14ac:dyDescent="0.3">
      <c r="A123" s="88"/>
      <c r="B123" s="85" t="s">
        <v>59</v>
      </c>
      <c r="C123" s="51" t="s">
        <v>18</v>
      </c>
      <c r="D123" s="56">
        <v>9143</v>
      </c>
      <c r="E123" s="56">
        <v>17530</v>
      </c>
      <c r="F123" s="56">
        <v>88648</v>
      </c>
      <c r="G123" s="56">
        <v>50197</v>
      </c>
      <c r="H123" s="57">
        <v>165528</v>
      </c>
    </row>
    <row r="124" spans="1:8" s="26" customFormat="1" ht="15" customHeight="1" x14ac:dyDescent="0.3">
      <c r="A124" s="88"/>
      <c r="B124" s="85"/>
      <c r="C124" s="51" t="s">
        <v>19</v>
      </c>
      <c r="D124" s="56">
        <v>11268</v>
      </c>
      <c r="E124" s="56">
        <v>17002</v>
      </c>
      <c r="F124" s="56">
        <v>84688</v>
      </c>
      <c r="G124" s="56">
        <v>45286</v>
      </c>
      <c r="H124" s="57">
        <v>158262</v>
      </c>
    </row>
    <row r="125" spans="1:8" s="26" customFormat="1" ht="15" customHeight="1" x14ac:dyDescent="0.3">
      <c r="A125" s="88"/>
      <c r="B125" s="85"/>
      <c r="C125" s="51" t="s">
        <v>26</v>
      </c>
      <c r="D125" s="56">
        <v>20437</v>
      </c>
      <c r="E125" s="56">
        <v>34568</v>
      </c>
      <c r="F125" s="56">
        <v>173500</v>
      </c>
      <c r="G125" s="56">
        <v>95498</v>
      </c>
      <c r="H125" s="57">
        <v>324034</v>
      </c>
    </row>
    <row r="126" spans="1:8" s="26" customFormat="1" ht="15" customHeight="1" x14ac:dyDescent="0.3">
      <c r="A126" s="88"/>
      <c r="B126" s="85" t="s">
        <v>60</v>
      </c>
      <c r="C126" s="51" t="s">
        <v>18</v>
      </c>
      <c r="D126" s="56">
        <v>10572</v>
      </c>
      <c r="E126" s="56">
        <v>19634</v>
      </c>
      <c r="F126" s="56">
        <v>84874</v>
      </c>
      <c r="G126" s="56">
        <v>47441</v>
      </c>
      <c r="H126" s="57">
        <v>162530</v>
      </c>
    </row>
    <row r="127" spans="1:8" s="26" customFormat="1" ht="15" customHeight="1" x14ac:dyDescent="0.3">
      <c r="A127" s="88"/>
      <c r="B127" s="85"/>
      <c r="C127" s="51" t="s">
        <v>19</v>
      </c>
      <c r="D127" s="56">
        <v>13399</v>
      </c>
      <c r="E127" s="56">
        <v>19298</v>
      </c>
      <c r="F127" s="56">
        <v>78989</v>
      </c>
      <c r="G127" s="56">
        <v>42324</v>
      </c>
      <c r="H127" s="57">
        <v>154030</v>
      </c>
    </row>
    <row r="128" spans="1:8" s="26" customFormat="1" ht="15" customHeight="1" x14ac:dyDescent="0.3">
      <c r="A128" s="88"/>
      <c r="B128" s="85"/>
      <c r="C128" s="51" t="s">
        <v>26</v>
      </c>
      <c r="D128" s="56">
        <v>23996</v>
      </c>
      <c r="E128" s="56">
        <v>38967</v>
      </c>
      <c r="F128" s="56">
        <v>164014</v>
      </c>
      <c r="G128" s="56">
        <v>89781</v>
      </c>
      <c r="H128" s="57">
        <v>316789</v>
      </c>
    </row>
    <row r="129" spans="1:8" s="26" customFormat="1" ht="15" customHeight="1" x14ac:dyDescent="0.3">
      <c r="A129" s="88"/>
      <c r="B129" s="85" t="s">
        <v>61</v>
      </c>
      <c r="C129" s="51" t="s">
        <v>18</v>
      </c>
      <c r="D129" s="56">
        <v>11925</v>
      </c>
      <c r="E129" s="56">
        <v>21268</v>
      </c>
      <c r="F129" s="56">
        <v>86658</v>
      </c>
      <c r="G129" s="56">
        <v>48038</v>
      </c>
      <c r="H129" s="57">
        <v>167896</v>
      </c>
    </row>
    <row r="130" spans="1:8" s="26" customFormat="1" ht="15" customHeight="1" x14ac:dyDescent="0.3">
      <c r="A130" s="88"/>
      <c r="B130" s="85"/>
      <c r="C130" s="51" t="s">
        <v>19</v>
      </c>
      <c r="D130" s="56">
        <v>14911</v>
      </c>
      <c r="E130" s="56">
        <v>20417</v>
      </c>
      <c r="F130" s="56">
        <v>80199</v>
      </c>
      <c r="G130" s="56">
        <v>42894</v>
      </c>
      <c r="H130" s="57">
        <v>158441</v>
      </c>
    </row>
    <row r="131" spans="1:8" s="26" customFormat="1" ht="15" customHeight="1" x14ac:dyDescent="0.3">
      <c r="A131" s="88"/>
      <c r="B131" s="85"/>
      <c r="C131" s="51" t="s">
        <v>26</v>
      </c>
      <c r="D131" s="56">
        <v>26859</v>
      </c>
      <c r="E131" s="56">
        <v>41706</v>
      </c>
      <c r="F131" s="56">
        <v>166998</v>
      </c>
      <c r="G131" s="56">
        <v>90942</v>
      </c>
      <c r="H131" s="57">
        <v>326540</v>
      </c>
    </row>
    <row r="132" spans="1:8" s="26" customFormat="1" ht="15" customHeight="1" x14ac:dyDescent="0.3">
      <c r="A132" s="88"/>
      <c r="B132" s="85" t="s">
        <v>62</v>
      </c>
      <c r="C132" s="51" t="s">
        <v>18</v>
      </c>
      <c r="D132" s="56">
        <v>13073</v>
      </c>
      <c r="E132" s="56">
        <v>20898</v>
      </c>
      <c r="F132" s="56">
        <v>83151</v>
      </c>
      <c r="G132" s="56">
        <v>45541</v>
      </c>
      <c r="H132" s="57">
        <v>162673</v>
      </c>
    </row>
    <row r="133" spans="1:8" s="26" customFormat="1" ht="15" customHeight="1" x14ac:dyDescent="0.3">
      <c r="A133" s="88"/>
      <c r="B133" s="85"/>
      <c r="C133" s="51" t="s">
        <v>19</v>
      </c>
      <c r="D133" s="56">
        <v>15983</v>
      </c>
      <c r="E133" s="56">
        <v>19591</v>
      </c>
      <c r="F133" s="56">
        <v>75558</v>
      </c>
      <c r="G133" s="56">
        <v>40066</v>
      </c>
      <c r="H133" s="57">
        <v>151216</v>
      </c>
    </row>
    <row r="134" spans="1:8" s="26" customFormat="1" ht="15" customHeight="1" x14ac:dyDescent="0.3">
      <c r="A134" s="88"/>
      <c r="B134" s="85"/>
      <c r="C134" s="51" t="s">
        <v>26</v>
      </c>
      <c r="D134" s="56">
        <v>29073</v>
      </c>
      <c r="E134" s="56">
        <v>40503</v>
      </c>
      <c r="F134" s="56">
        <v>158819</v>
      </c>
      <c r="G134" s="56">
        <v>85610</v>
      </c>
      <c r="H134" s="57">
        <v>314039</v>
      </c>
    </row>
    <row r="135" spans="1:8" s="26" customFormat="1" ht="15" customHeight="1" x14ac:dyDescent="0.3">
      <c r="A135" s="88"/>
      <c r="B135" s="85" t="s">
        <v>63</v>
      </c>
      <c r="C135" s="51" t="s">
        <v>18</v>
      </c>
      <c r="D135" s="56">
        <v>13571</v>
      </c>
      <c r="E135" s="56">
        <v>18642</v>
      </c>
      <c r="F135" s="56">
        <v>81722</v>
      </c>
      <c r="G135" s="56">
        <v>47092</v>
      </c>
      <c r="H135" s="57">
        <v>161035</v>
      </c>
    </row>
    <row r="136" spans="1:8" s="26" customFormat="1" ht="15" customHeight="1" x14ac:dyDescent="0.3">
      <c r="A136" s="88"/>
      <c r="B136" s="85"/>
      <c r="C136" s="51" t="s">
        <v>19</v>
      </c>
      <c r="D136" s="56">
        <v>16533</v>
      </c>
      <c r="E136" s="56">
        <v>17456</v>
      </c>
      <c r="F136" s="56">
        <v>75160</v>
      </c>
      <c r="G136" s="56">
        <v>42146</v>
      </c>
      <c r="H136" s="57">
        <v>151307</v>
      </c>
    </row>
    <row r="137" spans="1:8" s="26" customFormat="1" ht="15" customHeight="1" x14ac:dyDescent="0.3">
      <c r="A137" s="88"/>
      <c r="B137" s="85"/>
      <c r="C137" s="51" t="s">
        <v>26</v>
      </c>
      <c r="D137" s="56">
        <v>30135</v>
      </c>
      <c r="E137" s="56">
        <v>36107</v>
      </c>
      <c r="F137" s="56">
        <v>157014</v>
      </c>
      <c r="G137" s="56">
        <v>89249</v>
      </c>
      <c r="H137" s="57">
        <v>312536</v>
      </c>
    </row>
    <row r="138" spans="1:8" s="26" customFormat="1" ht="15" customHeight="1" x14ac:dyDescent="0.3">
      <c r="A138" s="88"/>
      <c r="B138" s="85" t="s">
        <v>64</v>
      </c>
      <c r="C138" s="51" t="s">
        <v>18</v>
      </c>
      <c r="D138" s="56">
        <v>11071</v>
      </c>
      <c r="E138" s="56">
        <v>18828</v>
      </c>
      <c r="F138" s="56">
        <v>84551</v>
      </c>
      <c r="G138" s="56">
        <v>47013</v>
      </c>
      <c r="H138" s="57">
        <v>161473</v>
      </c>
    </row>
    <row r="139" spans="1:8" s="26" customFormat="1" ht="15" customHeight="1" x14ac:dyDescent="0.3">
      <c r="A139" s="88"/>
      <c r="B139" s="85"/>
      <c r="C139" s="51" t="s">
        <v>19</v>
      </c>
      <c r="D139" s="56">
        <v>13024</v>
      </c>
      <c r="E139" s="56">
        <v>16707</v>
      </c>
      <c r="F139" s="56">
        <v>75753</v>
      </c>
      <c r="G139" s="56">
        <v>41395</v>
      </c>
      <c r="H139" s="57">
        <v>146888</v>
      </c>
    </row>
    <row r="140" spans="1:8" s="26" customFormat="1" ht="15" customHeight="1" x14ac:dyDescent="0.3">
      <c r="A140" s="88"/>
      <c r="B140" s="85"/>
      <c r="C140" s="51" t="s">
        <v>26</v>
      </c>
      <c r="D140" s="56">
        <v>24121</v>
      </c>
      <c r="E140" s="56">
        <v>35556</v>
      </c>
      <c r="F140" s="56">
        <v>160443</v>
      </c>
      <c r="G140" s="56">
        <v>88419</v>
      </c>
      <c r="H140" s="57">
        <v>308571</v>
      </c>
    </row>
    <row r="141" spans="1:8" s="26" customFormat="1" ht="15" customHeight="1" x14ac:dyDescent="0.3">
      <c r="A141" s="88"/>
      <c r="B141" s="85" t="s">
        <v>65</v>
      </c>
      <c r="C141" s="51" t="s">
        <v>18</v>
      </c>
      <c r="D141" s="56">
        <v>11380</v>
      </c>
      <c r="E141" s="56">
        <v>18006</v>
      </c>
      <c r="F141" s="56">
        <v>76107</v>
      </c>
      <c r="G141" s="56">
        <v>41927</v>
      </c>
      <c r="H141" s="57">
        <v>147424</v>
      </c>
    </row>
    <row r="142" spans="1:8" s="26" customFormat="1" ht="15" customHeight="1" x14ac:dyDescent="0.3">
      <c r="A142" s="88"/>
      <c r="B142" s="85"/>
      <c r="C142" s="51" t="s">
        <v>19</v>
      </c>
      <c r="D142" s="56">
        <v>13600</v>
      </c>
      <c r="E142" s="56">
        <v>16569</v>
      </c>
      <c r="F142" s="56">
        <v>68849</v>
      </c>
      <c r="G142" s="56">
        <v>37569</v>
      </c>
      <c r="H142" s="57">
        <v>136598</v>
      </c>
    </row>
    <row r="143" spans="1:8" s="26" customFormat="1" ht="15" customHeight="1" x14ac:dyDescent="0.3">
      <c r="A143" s="88"/>
      <c r="B143" s="85"/>
      <c r="C143" s="51" t="s">
        <v>26</v>
      </c>
      <c r="D143" s="56">
        <v>24992</v>
      </c>
      <c r="E143" s="56">
        <v>34592</v>
      </c>
      <c r="F143" s="56">
        <v>145085</v>
      </c>
      <c r="G143" s="56">
        <v>79506</v>
      </c>
      <c r="H143" s="57">
        <v>284197</v>
      </c>
    </row>
    <row r="144" spans="1:8" s="26" customFormat="1" ht="15" customHeight="1" x14ac:dyDescent="0.3">
      <c r="A144" s="88"/>
      <c r="B144" s="85" t="s">
        <v>66</v>
      </c>
      <c r="C144" s="51" t="s">
        <v>18</v>
      </c>
      <c r="D144" s="56">
        <v>10920</v>
      </c>
      <c r="E144" s="56">
        <v>18246</v>
      </c>
      <c r="F144" s="56">
        <v>82614</v>
      </c>
      <c r="G144" s="56">
        <v>47152</v>
      </c>
      <c r="H144" s="57">
        <v>158936</v>
      </c>
    </row>
    <row r="145" spans="1:8" s="26" customFormat="1" ht="15" customHeight="1" x14ac:dyDescent="0.3">
      <c r="A145" s="88"/>
      <c r="B145" s="85"/>
      <c r="C145" s="51" t="s">
        <v>19</v>
      </c>
      <c r="D145" s="56">
        <v>13003</v>
      </c>
      <c r="E145" s="56">
        <v>16014</v>
      </c>
      <c r="F145" s="56">
        <v>74540</v>
      </c>
      <c r="G145" s="56">
        <v>41989</v>
      </c>
      <c r="H145" s="57">
        <v>145552</v>
      </c>
    </row>
    <row r="146" spans="1:8" s="26" customFormat="1" ht="15" customHeight="1" x14ac:dyDescent="0.3">
      <c r="A146" s="88"/>
      <c r="B146" s="85"/>
      <c r="C146" s="51" t="s">
        <v>26</v>
      </c>
      <c r="D146" s="56">
        <v>23932</v>
      </c>
      <c r="E146" s="56">
        <v>34284</v>
      </c>
      <c r="F146" s="56">
        <v>157272</v>
      </c>
      <c r="G146" s="56">
        <v>89146</v>
      </c>
      <c r="H146" s="57">
        <v>304653</v>
      </c>
    </row>
    <row r="147" spans="1:8" s="26" customFormat="1" ht="15" customHeight="1" x14ac:dyDescent="0.3">
      <c r="A147" s="88" t="s">
        <v>0</v>
      </c>
      <c r="B147" s="85" t="s">
        <v>55</v>
      </c>
      <c r="C147" s="51" t="s">
        <v>18</v>
      </c>
      <c r="D147" s="56">
        <v>15919</v>
      </c>
      <c r="E147" s="56">
        <v>36013</v>
      </c>
      <c r="F147" s="56">
        <v>155625</v>
      </c>
      <c r="G147" s="56">
        <v>71868</v>
      </c>
      <c r="H147" s="57">
        <v>279449</v>
      </c>
    </row>
    <row r="148" spans="1:8" s="26" customFormat="1" ht="15" customHeight="1" x14ac:dyDescent="0.3">
      <c r="A148" s="88"/>
      <c r="B148" s="85"/>
      <c r="C148" s="51" t="s">
        <v>19</v>
      </c>
      <c r="D148" s="56">
        <v>19023</v>
      </c>
      <c r="E148" s="56">
        <v>35262</v>
      </c>
      <c r="F148" s="56">
        <v>133711</v>
      </c>
      <c r="G148" s="56">
        <v>63787</v>
      </c>
      <c r="H148" s="57">
        <v>251860</v>
      </c>
    </row>
    <row r="149" spans="1:8" s="26" customFormat="1" ht="15" customHeight="1" x14ac:dyDescent="0.3">
      <c r="A149" s="88"/>
      <c r="B149" s="85"/>
      <c r="C149" s="51" t="s">
        <v>26</v>
      </c>
      <c r="D149" s="56">
        <v>34943</v>
      </c>
      <c r="E149" s="56">
        <v>71295</v>
      </c>
      <c r="F149" s="56">
        <v>289376</v>
      </c>
      <c r="G149" s="56">
        <v>135657</v>
      </c>
      <c r="H149" s="57">
        <v>531378</v>
      </c>
    </row>
    <row r="150" spans="1:8" s="26" customFormat="1" ht="15" customHeight="1" x14ac:dyDescent="0.3">
      <c r="A150" s="88"/>
      <c r="B150" s="85" t="s">
        <v>56</v>
      </c>
      <c r="C150" s="51" t="s">
        <v>18</v>
      </c>
      <c r="D150" s="56">
        <v>15234</v>
      </c>
      <c r="E150" s="56">
        <v>38742</v>
      </c>
      <c r="F150" s="56">
        <v>163691</v>
      </c>
      <c r="G150" s="56">
        <v>77686</v>
      </c>
      <c r="H150" s="57">
        <v>295382</v>
      </c>
    </row>
    <row r="151" spans="1:8" s="26" customFormat="1" ht="15" customHeight="1" x14ac:dyDescent="0.3">
      <c r="A151" s="88"/>
      <c r="B151" s="85"/>
      <c r="C151" s="51" t="s">
        <v>19</v>
      </c>
      <c r="D151" s="56">
        <v>18889</v>
      </c>
      <c r="E151" s="56">
        <v>40193</v>
      </c>
      <c r="F151" s="56">
        <v>144245</v>
      </c>
      <c r="G151" s="56">
        <v>68684</v>
      </c>
      <c r="H151" s="57">
        <v>272116</v>
      </c>
    </row>
    <row r="152" spans="1:8" s="26" customFormat="1" ht="15" customHeight="1" x14ac:dyDescent="0.3">
      <c r="A152" s="88"/>
      <c r="B152" s="85"/>
      <c r="C152" s="51" t="s">
        <v>26</v>
      </c>
      <c r="D152" s="56">
        <v>34128</v>
      </c>
      <c r="E152" s="56">
        <v>78945</v>
      </c>
      <c r="F152" s="56">
        <v>307979</v>
      </c>
      <c r="G152" s="56">
        <v>146372</v>
      </c>
      <c r="H152" s="57">
        <v>567561</v>
      </c>
    </row>
    <row r="153" spans="1:8" s="26" customFormat="1" ht="15" customHeight="1" x14ac:dyDescent="0.3">
      <c r="A153" s="88"/>
      <c r="B153" s="85" t="s">
        <v>57</v>
      </c>
      <c r="C153" s="51" t="s">
        <v>18</v>
      </c>
      <c r="D153" s="56">
        <v>14013</v>
      </c>
      <c r="E153" s="56">
        <v>34066</v>
      </c>
      <c r="F153" s="56">
        <v>158039</v>
      </c>
      <c r="G153" s="56">
        <v>74485</v>
      </c>
      <c r="H153" s="57">
        <v>280630</v>
      </c>
    </row>
    <row r="154" spans="1:8" s="26" customFormat="1" ht="15" customHeight="1" x14ac:dyDescent="0.3">
      <c r="A154" s="88"/>
      <c r="B154" s="85"/>
      <c r="C154" s="51" t="s">
        <v>19</v>
      </c>
      <c r="D154" s="56">
        <v>17173</v>
      </c>
      <c r="E154" s="56">
        <v>35741</v>
      </c>
      <c r="F154" s="56">
        <v>142321</v>
      </c>
      <c r="G154" s="56">
        <v>67574</v>
      </c>
      <c r="H154" s="57">
        <v>262899</v>
      </c>
    </row>
    <row r="155" spans="1:8" s="26" customFormat="1" ht="15" customHeight="1" x14ac:dyDescent="0.3">
      <c r="A155" s="88"/>
      <c r="B155" s="85"/>
      <c r="C155" s="51" t="s">
        <v>26</v>
      </c>
      <c r="D155" s="56">
        <v>31186</v>
      </c>
      <c r="E155" s="56">
        <v>69822</v>
      </c>
      <c r="F155" s="56">
        <v>300404</v>
      </c>
      <c r="G155" s="56">
        <v>142062</v>
      </c>
      <c r="H155" s="57">
        <v>543595</v>
      </c>
    </row>
    <row r="156" spans="1:8" s="26" customFormat="1" ht="15" customHeight="1" x14ac:dyDescent="0.3">
      <c r="A156" s="88"/>
      <c r="B156" s="85" t="s">
        <v>58</v>
      </c>
      <c r="C156" s="51" t="s">
        <v>18</v>
      </c>
      <c r="D156" s="56">
        <v>14290</v>
      </c>
      <c r="E156" s="56">
        <v>32534</v>
      </c>
      <c r="F156" s="56">
        <v>168078</v>
      </c>
      <c r="G156" s="56">
        <v>78974</v>
      </c>
      <c r="H156" s="57">
        <v>293906</v>
      </c>
    </row>
    <row r="157" spans="1:8" s="26" customFormat="1" ht="15" customHeight="1" x14ac:dyDescent="0.3">
      <c r="A157" s="88"/>
      <c r="B157" s="85"/>
      <c r="C157" s="51" t="s">
        <v>19</v>
      </c>
      <c r="D157" s="56">
        <v>17274</v>
      </c>
      <c r="E157" s="56">
        <v>32918</v>
      </c>
      <c r="F157" s="56">
        <v>151177</v>
      </c>
      <c r="G157" s="56">
        <v>70961</v>
      </c>
      <c r="H157" s="57">
        <v>272413</v>
      </c>
    </row>
    <row r="158" spans="1:8" s="26" customFormat="1" ht="15" customHeight="1" x14ac:dyDescent="0.3">
      <c r="A158" s="88"/>
      <c r="B158" s="85"/>
      <c r="C158" s="51" t="s">
        <v>26</v>
      </c>
      <c r="D158" s="56">
        <v>31567</v>
      </c>
      <c r="E158" s="56">
        <v>65469</v>
      </c>
      <c r="F158" s="56">
        <v>319308</v>
      </c>
      <c r="G158" s="56">
        <v>149937</v>
      </c>
      <c r="H158" s="57">
        <v>566396</v>
      </c>
    </row>
    <row r="159" spans="1:8" s="26" customFormat="1" ht="15" customHeight="1" x14ac:dyDescent="0.3">
      <c r="A159" s="88"/>
      <c r="B159" s="85" t="s">
        <v>59</v>
      </c>
      <c r="C159" s="51" t="s">
        <v>18</v>
      </c>
      <c r="D159" s="56">
        <v>13484</v>
      </c>
      <c r="E159" s="56">
        <v>31112</v>
      </c>
      <c r="F159" s="56">
        <v>167255</v>
      </c>
      <c r="G159" s="56">
        <v>79011</v>
      </c>
      <c r="H159" s="57">
        <v>290890</v>
      </c>
    </row>
    <row r="160" spans="1:8" s="26" customFormat="1" ht="15" customHeight="1" x14ac:dyDescent="0.3">
      <c r="A160" s="88"/>
      <c r="B160" s="85"/>
      <c r="C160" s="51" t="s">
        <v>19</v>
      </c>
      <c r="D160" s="56">
        <v>16741</v>
      </c>
      <c r="E160" s="56">
        <v>32118</v>
      </c>
      <c r="F160" s="56">
        <v>151213</v>
      </c>
      <c r="G160" s="56">
        <v>70436</v>
      </c>
      <c r="H160" s="57">
        <v>270594</v>
      </c>
    </row>
    <row r="161" spans="1:8" s="26" customFormat="1" ht="15" customHeight="1" x14ac:dyDescent="0.3">
      <c r="A161" s="88"/>
      <c r="B161" s="85"/>
      <c r="C161" s="51" t="s">
        <v>26</v>
      </c>
      <c r="D161" s="56">
        <v>30233</v>
      </c>
      <c r="E161" s="56">
        <v>63249</v>
      </c>
      <c r="F161" s="56">
        <v>318509</v>
      </c>
      <c r="G161" s="56">
        <v>149449</v>
      </c>
      <c r="H161" s="57">
        <v>561556</v>
      </c>
    </row>
    <row r="162" spans="1:8" s="26" customFormat="1" ht="15" customHeight="1" x14ac:dyDescent="0.3">
      <c r="A162" s="88"/>
      <c r="B162" s="85" t="s">
        <v>60</v>
      </c>
      <c r="C162" s="51" t="s">
        <v>18</v>
      </c>
      <c r="D162" s="56">
        <v>14446</v>
      </c>
      <c r="E162" s="56">
        <v>35563</v>
      </c>
      <c r="F162" s="56">
        <v>161646</v>
      </c>
      <c r="G162" s="56">
        <v>75295</v>
      </c>
      <c r="H162" s="57">
        <v>286981</v>
      </c>
    </row>
    <row r="163" spans="1:8" s="26" customFormat="1" ht="15" customHeight="1" x14ac:dyDescent="0.3">
      <c r="A163" s="88"/>
      <c r="B163" s="85"/>
      <c r="C163" s="51" t="s">
        <v>19</v>
      </c>
      <c r="D163" s="56">
        <v>18356</v>
      </c>
      <c r="E163" s="56">
        <v>37814</v>
      </c>
      <c r="F163" s="56">
        <v>142721</v>
      </c>
      <c r="G163" s="56">
        <v>67252</v>
      </c>
      <c r="H163" s="57">
        <v>266228</v>
      </c>
    </row>
    <row r="164" spans="1:8" s="26" customFormat="1" ht="15" customHeight="1" x14ac:dyDescent="0.3">
      <c r="A164" s="88"/>
      <c r="B164" s="85"/>
      <c r="C164" s="51" t="s">
        <v>26</v>
      </c>
      <c r="D164" s="56">
        <v>32815</v>
      </c>
      <c r="E164" s="56">
        <v>73404</v>
      </c>
      <c r="F164" s="56">
        <v>304421</v>
      </c>
      <c r="G164" s="56">
        <v>142551</v>
      </c>
      <c r="H164" s="57">
        <v>553307</v>
      </c>
    </row>
    <row r="165" spans="1:8" s="26" customFormat="1" ht="15" customHeight="1" x14ac:dyDescent="0.3">
      <c r="A165" s="88"/>
      <c r="B165" s="85" t="s">
        <v>61</v>
      </c>
      <c r="C165" s="51" t="s">
        <v>18</v>
      </c>
      <c r="D165" s="56">
        <v>16821</v>
      </c>
      <c r="E165" s="56">
        <v>38839</v>
      </c>
      <c r="F165" s="56">
        <v>165994</v>
      </c>
      <c r="G165" s="56">
        <v>77715</v>
      </c>
      <c r="H165" s="57">
        <v>299385</v>
      </c>
    </row>
    <row r="166" spans="1:8" s="26" customFormat="1" ht="15" customHeight="1" x14ac:dyDescent="0.3">
      <c r="A166" s="88"/>
      <c r="B166" s="85"/>
      <c r="C166" s="51" t="s">
        <v>19</v>
      </c>
      <c r="D166" s="56">
        <v>20744</v>
      </c>
      <c r="E166" s="56">
        <v>41295</v>
      </c>
      <c r="F166" s="56">
        <v>142373</v>
      </c>
      <c r="G166" s="56">
        <v>69112</v>
      </c>
      <c r="H166" s="57">
        <v>273589</v>
      </c>
    </row>
    <row r="167" spans="1:8" s="26" customFormat="1" ht="15" customHeight="1" x14ac:dyDescent="0.3">
      <c r="A167" s="88"/>
      <c r="B167" s="85"/>
      <c r="C167" s="51" t="s">
        <v>26</v>
      </c>
      <c r="D167" s="56">
        <v>37567</v>
      </c>
      <c r="E167" s="56">
        <v>80157</v>
      </c>
      <c r="F167" s="56">
        <v>308423</v>
      </c>
      <c r="G167" s="56">
        <v>146831</v>
      </c>
      <c r="H167" s="57">
        <v>573064</v>
      </c>
    </row>
    <row r="168" spans="1:8" s="26" customFormat="1" ht="15" customHeight="1" x14ac:dyDescent="0.3">
      <c r="A168" s="88"/>
      <c r="B168" s="85" t="s">
        <v>62</v>
      </c>
      <c r="C168" s="51" t="s">
        <v>18</v>
      </c>
      <c r="D168" s="56">
        <v>19533</v>
      </c>
      <c r="E168" s="56">
        <v>39263</v>
      </c>
      <c r="F168" s="56">
        <v>160452</v>
      </c>
      <c r="G168" s="56">
        <v>72593</v>
      </c>
      <c r="H168" s="57">
        <v>291868</v>
      </c>
    </row>
    <row r="169" spans="1:8" s="26" customFormat="1" ht="15" customHeight="1" x14ac:dyDescent="0.3">
      <c r="A169" s="88"/>
      <c r="B169" s="85"/>
      <c r="C169" s="51" t="s">
        <v>19</v>
      </c>
      <c r="D169" s="56">
        <v>23515</v>
      </c>
      <c r="E169" s="56">
        <v>39162</v>
      </c>
      <c r="F169" s="56">
        <v>134329</v>
      </c>
      <c r="G169" s="56">
        <v>63906</v>
      </c>
      <c r="H169" s="57">
        <v>260981</v>
      </c>
    </row>
    <row r="170" spans="1:8" s="26" customFormat="1" ht="15" customHeight="1" x14ac:dyDescent="0.3">
      <c r="A170" s="88"/>
      <c r="B170" s="85"/>
      <c r="C170" s="51" t="s">
        <v>26</v>
      </c>
      <c r="D170" s="56">
        <v>43049</v>
      </c>
      <c r="E170" s="56">
        <v>78449</v>
      </c>
      <c r="F170" s="56">
        <v>294835</v>
      </c>
      <c r="G170" s="56">
        <v>136504</v>
      </c>
      <c r="H170" s="57">
        <v>552938</v>
      </c>
    </row>
    <row r="171" spans="1:8" s="26" customFormat="1" ht="15" customHeight="1" x14ac:dyDescent="0.3">
      <c r="A171" s="88"/>
      <c r="B171" s="85" t="s">
        <v>63</v>
      </c>
      <c r="C171" s="51" t="s">
        <v>18</v>
      </c>
      <c r="D171" s="56">
        <v>24277</v>
      </c>
      <c r="E171" s="56">
        <v>35639</v>
      </c>
      <c r="F171" s="56">
        <v>160962</v>
      </c>
      <c r="G171" s="56">
        <v>76621</v>
      </c>
      <c r="H171" s="57">
        <v>297516</v>
      </c>
    </row>
    <row r="172" spans="1:8" s="26" customFormat="1" ht="15" customHeight="1" x14ac:dyDescent="0.3">
      <c r="A172" s="88"/>
      <c r="B172" s="85"/>
      <c r="C172" s="51" t="s">
        <v>19</v>
      </c>
      <c r="D172" s="56">
        <v>28837</v>
      </c>
      <c r="E172" s="56">
        <v>35616</v>
      </c>
      <c r="F172" s="56">
        <v>135999</v>
      </c>
      <c r="G172" s="56">
        <v>67884</v>
      </c>
      <c r="H172" s="57">
        <v>268401</v>
      </c>
    </row>
    <row r="173" spans="1:8" s="26" customFormat="1" ht="15" customHeight="1" x14ac:dyDescent="0.3">
      <c r="A173" s="88"/>
      <c r="B173" s="85"/>
      <c r="C173" s="51" t="s">
        <v>26</v>
      </c>
      <c r="D173" s="56">
        <v>53118</v>
      </c>
      <c r="E173" s="56">
        <v>71276</v>
      </c>
      <c r="F173" s="56">
        <v>297027</v>
      </c>
      <c r="G173" s="56">
        <v>144507</v>
      </c>
      <c r="H173" s="57">
        <v>566014</v>
      </c>
    </row>
    <row r="174" spans="1:8" s="26" customFormat="1" ht="15" customHeight="1" x14ac:dyDescent="0.3">
      <c r="A174" s="88"/>
      <c r="B174" s="85" t="s">
        <v>64</v>
      </c>
      <c r="C174" s="51" t="s">
        <v>18</v>
      </c>
      <c r="D174" s="56">
        <v>19716</v>
      </c>
      <c r="E174" s="56">
        <v>35328</v>
      </c>
      <c r="F174" s="56">
        <v>165917</v>
      </c>
      <c r="G174" s="56">
        <v>75534</v>
      </c>
      <c r="H174" s="57">
        <v>296516</v>
      </c>
    </row>
    <row r="175" spans="1:8" s="26" customFormat="1" ht="15" customHeight="1" x14ac:dyDescent="0.3">
      <c r="A175" s="88"/>
      <c r="B175" s="85"/>
      <c r="C175" s="51" t="s">
        <v>19</v>
      </c>
      <c r="D175" s="56">
        <v>23425</v>
      </c>
      <c r="E175" s="56">
        <v>34328</v>
      </c>
      <c r="F175" s="56">
        <v>140329</v>
      </c>
      <c r="G175" s="56">
        <v>67185</v>
      </c>
      <c r="H175" s="57">
        <v>265322</v>
      </c>
    </row>
    <row r="176" spans="1:8" s="26" customFormat="1" ht="15" customHeight="1" x14ac:dyDescent="0.3">
      <c r="A176" s="88"/>
      <c r="B176" s="85"/>
      <c r="C176" s="51" t="s">
        <v>26</v>
      </c>
      <c r="D176" s="56">
        <v>43144</v>
      </c>
      <c r="E176" s="56">
        <v>69686</v>
      </c>
      <c r="F176" s="56">
        <v>306297</v>
      </c>
      <c r="G176" s="56">
        <v>142722</v>
      </c>
      <c r="H176" s="57">
        <v>561933</v>
      </c>
    </row>
    <row r="177" spans="1:8" s="26" customFormat="1" ht="15" customHeight="1" x14ac:dyDescent="0.3">
      <c r="A177" s="88"/>
      <c r="B177" s="85" t="s">
        <v>65</v>
      </c>
      <c r="C177" s="51" t="s">
        <v>18</v>
      </c>
      <c r="D177" s="56">
        <v>16516</v>
      </c>
      <c r="E177" s="56">
        <v>31646</v>
      </c>
      <c r="F177" s="56">
        <v>146093</v>
      </c>
      <c r="G177" s="56">
        <v>65632</v>
      </c>
      <c r="H177" s="57">
        <v>259900</v>
      </c>
    </row>
    <row r="178" spans="1:8" s="26" customFormat="1" ht="15" customHeight="1" x14ac:dyDescent="0.3">
      <c r="A178" s="88"/>
      <c r="B178" s="85"/>
      <c r="C178" s="51" t="s">
        <v>19</v>
      </c>
      <c r="D178" s="56">
        <v>19383</v>
      </c>
      <c r="E178" s="56">
        <v>30971</v>
      </c>
      <c r="F178" s="56">
        <v>122683</v>
      </c>
      <c r="G178" s="56">
        <v>58461</v>
      </c>
      <c r="H178" s="57">
        <v>231545</v>
      </c>
    </row>
    <row r="179" spans="1:8" s="26" customFormat="1" ht="15" customHeight="1" x14ac:dyDescent="0.3">
      <c r="A179" s="88"/>
      <c r="B179" s="85"/>
      <c r="C179" s="51" t="s">
        <v>26</v>
      </c>
      <c r="D179" s="56">
        <v>35902</v>
      </c>
      <c r="E179" s="56">
        <v>62630</v>
      </c>
      <c r="F179" s="56">
        <v>268821</v>
      </c>
      <c r="G179" s="56">
        <v>124094</v>
      </c>
      <c r="H179" s="57">
        <v>491512</v>
      </c>
    </row>
    <row r="180" spans="1:8" s="26" customFormat="1" ht="15" customHeight="1" x14ac:dyDescent="0.3">
      <c r="A180" s="88"/>
      <c r="B180" s="85" t="s">
        <v>66</v>
      </c>
      <c r="C180" s="51" t="s">
        <v>18</v>
      </c>
      <c r="D180" s="56">
        <v>17051</v>
      </c>
      <c r="E180" s="56">
        <v>34682</v>
      </c>
      <c r="F180" s="56">
        <v>162120</v>
      </c>
      <c r="G180" s="56">
        <v>75855</v>
      </c>
      <c r="H180" s="57">
        <v>289721</v>
      </c>
    </row>
    <row r="181" spans="1:8" s="26" customFormat="1" ht="15" customHeight="1" x14ac:dyDescent="0.3">
      <c r="A181" s="88"/>
      <c r="B181" s="85"/>
      <c r="C181" s="51" t="s">
        <v>19</v>
      </c>
      <c r="D181" s="56">
        <v>20345</v>
      </c>
      <c r="E181" s="56">
        <v>33777</v>
      </c>
      <c r="F181" s="56">
        <v>136499</v>
      </c>
      <c r="G181" s="56">
        <v>66712</v>
      </c>
      <c r="H181" s="57">
        <v>257371</v>
      </c>
    </row>
    <row r="182" spans="1:8" s="26" customFormat="1" ht="15" customHeight="1" x14ac:dyDescent="0.3">
      <c r="A182" s="88"/>
      <c r="B182" s="85"/>
      <c r="C182" s="51" t="s">
        <v>26</v>
      </c>
      <c r="D182" s="56">
        <v>37397</v>
      </c>
      <c r="E182" s="56">
        <v>68473</v>
      </c>
      <c r="F182" s="56">
        <v>298680</v>
      </c>
      <c r="G182" s="56">
        <v>142568</v>
      </c>
      <c r="H182" s="57">
        <v>547177</v>
      </c>
    </row>
    <row r="183" spans="1:8" s="26" customFormat="1" ht="15" customHeight="1" x14ac:dyDescent="0.3">
      <c r="A183" s="88" t="s">
        <v>117</v>
      </c>
      <c r="B183" s="85" t="s">
        <v>55</v>
      </c>
      <c r="C183" s="51" t="s">
        <v>18</v>
      </c>
      <c r="D183" s="56">
        <v>1386</v>
      </c>
      <c r="E183" s="56">
        <v>2878</v>
      </c>
      <c r="F183" s="56">
        <v>11802</v>
      </c>
      <c r="G183" s="56">
        <v>4332</v>
      </c>
      <c r="H183" s="57">
        <v>20403</v>
      </c>
    </row>
    <row r="184" spans="1:8" s="26" customFormat="1" ht="15" customHeight="1" x14ac:dyDescent="0.3">
      <c r="A184" s="88"/>
      <c r="B184" s="85"/>
      <c r="C184" s="51" t="s">
        <v>19</v>
      </c>
      <c r="D184" s="56">
        <v>1669</v>
      </c>
      <c r="E184" s="56">
        <v>2748</v>
      </c>
      <c r="F184" s="56">
        <v>10645</v>
      </c>
      <c r="G184" s="56">
        <v>4063</v>
      </c>
      <c r="H184" s="57">
        <v>19130</v>
      </c>
    </row>
    <row r="185" spans="1:8" s="26" customFormat="1" ht="15" customHeight="1" x14ac:dyDescent="0.3">
      <c r="A185" s="88"/>
      <c r="B185" s="85"/>
      <c r="C185" s="51" t="s">
        <v>26</v>
      </c>
      <c r="D185" s="56">
        <v>3055</v>
      </c>
      <c r="E185" s="56">
        <v>5627</v>
      </c>
      <c r="F185" s="56">
        <v>22453</v>
      </c>
      <c r="G185" s="56">
        <v>8395</v>
      </c>
      <c r="H185" s="57">
        <v>39540</v>
      </c>
    </row>
    <row r="186" spans="1:8" s="26" customFormat="1" ht="15" customHeight="1" x14ac:dyDescent="0.3">
      <c r="A186" s="88"/>
      <c r="B186" s="85" t="s">
        <v>56</v>
      </c>
      <c r="C186" s="51" t="s">
        <v>18</v>
      </c>
      <c r="D186" s="56">
        <v>1275</v>
      </c>
      <c r="E186" s="56">
        <v>2989</v>
      </c>
      <c r="F186" s="56">
        <v>11854</v>
      </c>
      <c r="G186" s="56">
        <v>4678</v>
      </c>
      <c r="H186" s="57">
        <v>20802</v>
      </c>
    </row>
    <row r="187" spans="1:8" s="26" customFormat="1" ht="15" customHeight="1" x14ac:dyDescent="0.3">
      <c r="A187" s="88"/>
      <c r="B187" s="85"/>
      <c r="C187" s="51" t="s">
        <v>19</v>
      </c>
      <c r="D187" s="56">
        <v>1608</v>
      </c>
      <c r="E187" s="56">
        <v>2742</v>
      </c>
      <c r="F187" s="56">
        <v>10790</v>
      </c>
      <c r="G187" s="56">
        <v>4270</v>
      </c>
      <c r="H187" s="57">
        <v>19415</v>
      </c>
    </row>
    <row r="188" spans="1:8" s="26" customFormat="1" ht="15" customHeight="1" x14ac:dyDescent="0.3">
      <c r="A188" s="88"/>
      <c r="B188" s="85"/>
      <c r="C188" s="51" t="s">
        <v>26</v>
      </c>
      <c r="D188" s="56">
        <v>2883</v>
      </c>
      <c r="E188" s="56">
        <v>5731</v>
      </c>
      <c r="F188" s="56">
        <v>22649</v>
      </c>
      <c r="G188" s="56">
        <v>8948</v>
      </c>
      <c r="H188" s="57">
        <v>40222</v>
      </c>
    </row>
    <row r="189" spans="1:8" s="26" customFormat="1" ht="15" customHeight="1" x14ac:dyDescent="0.3">
      <c r="A189" s="88"/>
      <c r="B189" s="85" t="s">
        <v>57</v>
      </c>
      <c r="C189" s="51" t="s">
        <v>18</v>
      </c>
      <c r="D189" s="56">
        <v>1161</v>
      </c>
      <c r="E189" s="56">
        <v>2798</v>
      </c>
      <c r="F189" s="56">
        <v>11492</v>
      </c>
      <c r="G189" s="56">
        <v>4435</v>
      </c>
      <c r="H189" s="57">
        <v>19891</v>
      </c>
    </row>
    <row r="190" spans="1:8" s="26" customFormat="1" ht="15" customHeight="1" x14ac:dyDescent="0.3">
      <c r="A190" s="88"/>
      <c r="B190" s="85"/>
      <c r="C190" s="51" t="s">
        <v>19</v>
      </c>
      <c r="D190" s="56">
        <v>1530</v>
      </c>
      <c r="E190" s="56">
        <v>2604</v>
      </c>
      <c r="F190" s="56">
        <v>10624</v>
      </c>
      <c r="G190" s="56">
        <v>4177</v>
      </c>
      <c r="H190" s="57">
        <v>18943</v>
      </c>
    </row>
    <row r="191" spans="1:8" s="26" customFormat="1" ht="15" customHeight="1" x14ac:dyDescent="0.3">
      <c r="A191" s="88"/>
      <c r="B191" s="85"/>
      <c r="C191" s="51" t="s">
        <v>26</v>
      </c>
      <c r="D191" s="56">
        <v>2691</v>
      </c>
      <c r="E191" s="56">
        <v>5403</v>
      </c>
      <c r="F191" s="56">
        <v>22120</v>
      </c>
      <c r="G191" s="56">
        <v>8612</v>
      </c>
      <c r="H191" s="57">
        <v>38839</v>
      </c>
    </row>
    <row r="192" spans="1:8" s="26" customFormat="1" ht="15" customHeight="1" x14ac:dyDescent="0.3">
      <c r="A192" s="88"/>
      <c r="B192" s="85" t="s">
        <v>58</v>
      </c>
      <c r="C192" s="51" t="s">
        <v>18</v>
      </c>
      <c r="D192" s="56">
        <v>1202</v>
      </c>
      <c r="E192" s="56">
        <v>2600</v>
      </c>
      <c r="F192" s="56">
        <v>12145</v>
      </c>
      <c r="G192" s="56">
        <v>4704</v>
      </c>
      <c r="H192" s="57">
        <v>20665</v>
      </c>
    </row>
    <row r="193" spans="1:8" s="26" customFormat="1" ht="15" customHeight="1" x14ac:dyDescent="0.3">
      <c r="A193" s="88"/>
      <c r="B193" s="85"/>
      <c r="C193" s="51" t="s">
        <v>19</v>
      </c>
      <c r="D193" s="56">
        <v>1464</v>
      </c>
      <c r="E193" s="56">
        <v>2411</v>
      </c>
      <c r="F193" s="56">
        <v>11502</v>
      </c>
      <c r="G193" s="56">
        <v>4451</v>
      </c>
      <c r="H193" s="57">
        <v>19841</v>
      </c>
    </row>
    <row r="194" spans="1:8" s="26" customFormat="1" ht="15" customHeight="1" x14ac:dyDescent="0.3">
      <c r="A194" s="88"/>
      <c r="B194" s="85"/>
      <c r="C194" s="51" t="s">
        <v>26</v>
      </c>
      <c r="D194" s="56">
        <v>2666</v>
      </c>
      <c r="E194" s="56">
        <v>5012</v>
      </c>
      <c r="F194" s="56">
        <v>23654</v>
      </c>
      <c r="G194" s="56">
        <v>9155</v>
      </c>
      <c r="H194" s="57">
        <v>40514</v>
      </c>
    </row>
    <row r="195" spans="1:8" s="26" customFormat="1" ht="15" customHeight="1" x14ac:dyDescent="0.3">
      <c r="A195" s="88"/>
      <c r="B195" s="85" t="s">
        <v>59</v>
      </c>
      <c r="C195" s="51" t="s">
        <v>18</v>
      </c>
      <c r="D195" s="56">
        <v>1219</v>
      </c>
      <c r="E195" s="56">
        <v>2594</v>
      </c>
      <c r="F195" s="56">
        <v>12392</v>
      </c>
      <c r="G195" s="56">
        <v>4616</v>
      </c>
      <c r="H195" s="57">
        <v>20824</v>
      </c>
    </row>
    <row r="196" spans="1:8" s="26" customFormat="1" ht="15" customHeight="1" x14ac:dyDescent="0.3">
      <c r="A196" s="88"/>
      <c r="B196" s="85"/>
      <c r="C196" s="51" t="s">
        <v>19</v>
      </c>
      <c r="D196" s="56">
        <v>1454</v>
      </c>
      <c r="E196" s="56">
        <v>2355</v>
      </c>
      <c r="F196" s="56">
        <v>11357</v>
      </c>
      <c r="G196" s="56">
        <v>4422</v>
      </c>
      <c r="H196" s="57">
        <v>19599</v>
      </c>
    </row>
    <row r="197" spans="1:8" s="26" customFormat="1" ht="15" customHeight="1" x14ac:dyDescent="0.3">
      <c r="A197" s="88"/>
      <c r="B197" s="85"/>
      <c r="C197" s="51" t="s">
        <v>26</v>
      </c>
      <c r="D197" s="56">
        <v>2673</v>
      </c>
      <c r="E197" s="56">
        <v>4950</v>
      </c>
      <c r="F197" s="56">
        <v>23764</v>
      </c>
      <c r="G197" s="56">
        <v>9038</v>
      </c>
      <c r="H197" s="57">
        <v>40439</v>
      </c>
    </row>
    <row r="198" spans="1:8" s="26" customFormat="1" ht="15" customHeight="1" x14ac:dyDescent="0.3">
      <c r="A198" s="88"/>
      <c r="B198" s="85" t="s">
        <v>60</v>
      </c>
      <c r="C198" s="51" t="s">
        <v>18</v>
      </c>
      <c r="D198" s="56">
        <v>1138</v>
      </c>
      <c r="E198" s="56">
        <v>2669</v>
      </c>
      <c r="F198" s="56">
        <v>12118</v>
      </c>
      <c r="G198" s="56">
        <v>4552</v>
      </c>
      <c r="H198" s="57">
        <v>20482</v>
      </c>
    </row>
    <row r="199" spans="1:8" s="26" customFormat="1" ht="15" customHeight="1" x14ac:dyDescent="0.3">
      <c r="A199" s="88"/>
      <c r="B199" s="85"/>
      <c r="C199" s="51" t="s">
        <v>19</v>
      </c>
      <c r="D199" s="56">
        <v>1502</v>
      </c>
      <c r="E199" s="56">
        <v>2730</v>
      </c>
      <c r="F199" s="56">
        <v>10845</v>
      </c>
      <c r="G199" s="56">
        <v>4164</v>
      </c>
      <c r="H199" s="57">
        <v>19247</v>
      </c>
    </row>
    <row r="200" spans="1:8" s="26" customFormat="1" ht="15" customHeight="1" x14ac:dyDescent="0.3">
      <c r="A200" s="88"/>
      <c r="B200" s="85"/>
      <c r="C200" s="51" t="s">
        <v>26</v>
      </c>
      <c r="D200" s="56">
        <v>2640</v>
      </c>
      <c r="E200" s="56">
        <v>5400</v>
      </c>
      <c r="F200" s="56">
        <v>22971</v>
      </c>
      <c r="G200" s="56">
        <v>8716</v>
      </c>
      <c r="H200" s="57">
        <v>39738</v>
      </c>
    </row>
    <row r="201" spans="1:8" s="26" customFormat="1" ht="15" customHeight="1" x14ac:dyDescent="0.3">
      <c r="A201" s="88"/>
      <c r="B201" s="85" t="s">
        <v>61</v>
      </c>
      <c r="C201" s="51" t="s">
        <v>18</v>
      </c>
      <c r="D201" s="56">
        <v>1205</v>
      </c>
      <c r="E201" s="56">
        <v>2716</v>
      </c>
      <c r="F201" s="56">
        <v>12005</v>
      </c>
      <c r="G201" s="56">
        <v>4494</v>
      </c>
      <c r="H201" s="57">
        <v>20423</v>
      </c>
    </row>
    <row r="202" spans="1:8" s="26" customFormat="1" ht="15" customHeight="1" x14ac:dyDescent="0.3">
      <c r="A202" s="88"/>
      <c r="B202" s="85"/>
      <c r="C202" s="51" t="s">
        <v>19</v>
      </c>
      <c r="D202" s="56">
        <v>1445</v>
      </c>
      <c r="E202" s="56">
        <v>2614</v>
      </c>
      <c r="F202" s="56">
        <v>10812</v>
      </c>
      <c r="G202" s="56">
        <v>4350</v>
      </c>
      <c r="H202" s="57">
        <v>19230</v>
      </c>
    </row>
    <row r="203" spans="1:8" s="26" customFormat="1" ht="15" customHeight="1" x14ac:dyDescent="0.3">
      <c r="A203" s="88"/>
      <c r="B203" s="85"/>
      <c r="C203" s="51" t="s">
        <v>26</v>
      </c>
      <c r="D203" s="56">
        <v>2651</v>
      </c>
      <c r="E203" s="56">
        <v>5330</v>
      </c>
      <c r="F203" s="56">
        <v>22821</v>
      </c>
      <c r="G203" s="56">
        <v>8844</v>
      </c>
      <c r="H203" s="57">
        <v>39658</v>
      </c>
    </row>
    <row r="204" spans="1:8" s="26" customFormat="1" ht="15" customHeight="1" x14ac:dyDescent="0.3">
      <c r="A204" s="88"/>
      <c r="B204" s="85" t="s">
        <v>62</v>
      </c>
      <c r="C204" s="51" t="s">
        <v>18</v>
      </c>
      <c r="D204" s="56">
        <v>1232</v>
      </c>
      <c r="E204" s="56">
        <v>2727</v>
      </c>
      <c r="F204" s="56">
        <v>11593</v>
      </c>
      <c r="G204" s="56">
        <v>4354</v>
      </c>
      <c r="H204" s="57">
        <v>19911</v>
      </c>
    </row>
    <row r="205" spans="1:8" s="26" customFormat="1" ht="15" customHeight="1" x14ac:dyDescent="0.3">
      <c r="A205" s="88"/>
      <c r="B205" s="85"/>
      <c r="C205" s="51" t="s">
        <v>19</v>
      </c>
      <c r="D205" s="56">
        <v>1533</v>
      </c>
      <c r="E205" s="56">
        <v>2415</v>
      </c>
      <c r="F205" s="56">
        <v>10282</v>
      </c>
      <c r="G205" s="56">
        <v>3873</v>
      </c>
      <c r="H205" s="57">
        <v>18110</v>
      </c>
    </row>
    <row r="206" spans="1:8" s="26" customFormat="1" ht="15" customHeight="1" x14ac:dyDescent="0.3">
      <c r="A206" s="88"/>
      <c r="B206" s="85"/>
      <c r="C206" s="51" t="s">
        <v>26</v>
      </c>
      <c r="D206" s="56">
        <v>2765</v>
      </c>
      <c r="E206" s="56">
        <v>5144</v>
      </c>
      <c r="F206" s="56">
        <v>21883</v>
      </c>
      <c r="G206" s="56">
        <v>8227</v>
      </c>
      <c r="H206" s="57">
        <v>38032</v>
      </c>
    </row>
    <row r="207" spans="1:8" s="26" customFormat="1" ht="15" customHeight="1" x14ac:dyDescent="0.3">
      <c r="A207" s="88"/>
      <c r="B207" s="85" t="s">
        <v>63</v>
      </c>
      <c r="C207" s="51" t="s">
        <v>18</v>
      </c>
      <c r="D207" s="56">
        <v>1427</v>
      </c>
      <c r="E207" s="56">
        <v>2542</v>
      </c>
      <c r="F207" s="56">
        <v>11604</v>
      </c>
      <c r="G207" s="56">
        <v>4432</v>
      </c>
      <c r="H207" s="57">
        <v>20008</v>
      </c>
    </row>
    <row r="208" spans="1:8" s="26" customFormat="1" ht="15" customHeight="1" x14ac:dyDescent="0.3">
      <c r="A208" s="88"/>
      <c r="B208" s="85"/>
      <c r="C208" s="51" t="s">
        <v>19</v>
      </c>
      <c r="D208" s="56">
        <v>1775</v>
      </c>
      <c r="E208" s="56">
        <v>2297</v>
      </c>
      <c r="F208" s="56">
        <v>10280</v>
      </c>
      <c r="G208" s="56">
        <v>3971</v>
      </c>
      <c r="H208" s="57">
        <v>18329</v>
      </c>
    </row>
    <row r="209" spans="1:8" s="26" customFormat="1" ht="15" customHeight="1" x14ac:dyDescent="0.3">
      <c r="A209" s="88"/>
      <c r="B209" s="85"/>
      <c r="C209" s="51" t="s">
        <v>26</v>
      </c>
      <c r="D209" s="56">
        <v>3203</v>
      </c>
      <c r="E209" s="56">
        <v>4839</v>
      </c>
      <c r="F209" s="56">
        <v>21891</v>
      </c>
      <c r="G209" s="56">
        <v>8404</v>
      </c>
      <c r="H209" s="57">
        <v>38347</v>
      </c>
    </row>
    <row r="210" spans="1:8" s="26" customFormat="1" ht="15" customHeight="1" x14ac:dyDescent="0.3">
      <c r="A210" s="88"/>
      <c r="B210" s="85" t="s">
        <v>64</v>
      </c>
      <c r="C210" s="51" t="s">
        <v>18</v>
      </c>
      <c r="D210" s="56">
        <v>1421</v>
      </c>
      <c r="E210" s="56">
        <v>2617</v>
      </c>
      <c r="F210" s="56">
        <v>11628</v>
      </c>
      <c r="G210" s="56">
        <v>4066</v>
      </c>
      <c r="H210" s="57">
        <v>19735</v>
      </c>
    </row>
    <row r="211" spans="1:8" s="26" customFormat="1" ht="15" customHeight="1" x14ac:dyDescent="0.3">
      <c r="A211" s="88"/>
      <c r="B211" s="85"/>
      <c r="C211" s="51" t="s">
        <v>19</v>
      </c>
      <c r="D211" s="56">
        <v>1931</v>
      </c>
      <c r="E211" s="56">
        <v>2341</v>
      </c>
      <c r="F211" s="56">
        <v>10558</v>
      </c>
      <c r="G211" s="56">
        <v>3892</v>
      </c>
      <c r="H211" s="57">
        <v>18734</v>
      </c>
    </row>
    <row r="212" spans="1:8" s="26" customFormat="1" ht="15" customHeight="1" x14ac:dyDescent="0.3">
      <c r="A212" s="88"/>
      <c r="B212" s="85"/>
      <c r="C212" s="51" t="s">
        <v>26</v>
      </c>
      <c r="D212" s="56">
        <v>3352</v>
      </c>
      <c r="E212" s="56">
        <v>4958</v>
      </c>
      <c r="F212" s="56">
        <v>22189</v>
      </c>
      <c r="G212" s="56">
        <v>7958</v>
      </c>
      <c r="H212" s="57">
        <v>38472</v>
      </c>
    </row>
    <row r="213" spans="1:8" s="26" customFormat="1" ht="15" customHeight="1" x14ac:dyDescent="0.3">
      <c r="A213" s="88"/>
      <c r="B213" s="85" t="s">
        <v>65</v>
      </c>
      <c r="C213" s="51" t="s">
        <v>18</v>
      </c>
      <c r="D213" s="56">
        <v>1463</v>
      </c>
      <c r="E213" s="56">
        <v>2571</v>
      </c>
      <c r="F213" s="56">
        <v>10759</v>
      </c>
      <c r="G213" s="56">
        <v>4090</v>
      </c>
      <c r="H213" s="57">
        <v>18884</v>
      </c>
    </row>
    <row r="214" spans="1:8" s="26" customFormat="1" ht="15" customHeight="1" x14ac:dyDescent="0.3">
      <c r="A214" s="88"/>
      <c r="B214" s="85"/>
      <c r="C214" s="51" t="s">
        <v>19</v>
      </c>
      <c r="D214" s="56">
        <v>1670</v>
      </c>
      <c r="E214" s="56">
        <v>2218</v>
      </c>
      <c r="F214" s="56">
        <v>9296</v>
      </c>
      <c r="G214" s="56">
        <v>3699</v>
      </c>
      <c r="H214" s="57">
        <v>16888</v>
      </c>
    </row>
    <row r="215" spans="1:8" s="26" customFormat="1" ht="15" customHeight="1" x14ac:dyDescent="0.3">
      <c r="A215" s="88"/>
      <c r="B215" s="85"/>
      <c r="C215" s="51" t="s">
        <v>26</v>
      </c>
      <c r="D215" s="56">
        <v>3133</v>
      </c>
      <c r="E215" s="56">
        <v>4789</v>
      </c>
      <c r="F215" s="56">
        <v>20060</v>
      </c>
      <c r="G215" s="56">
        <v>7789</v>
      </c>
      <c r="H215" s="57">
        <v>35778</v>
      </c>
    </row>
    <row r="216" spans="1:8" s="26" customFormat="1" ht="15" customHeight="1" x14ac:dyDescent="0.3">
      <c r="A216" s="88"/>
      <c r="B216" s="85" t="s">
        <v>66</v>
      </c>
      <c r="C216" s="51" t="s">
        <v>18</v>
      </c>
      <c r="D216" s="56">
        <v>1429</v>
      </c>
      <c r="E216" s="56">
        <v>2649</v>
      </c>
      <c r="F216" s="56">
        <v>12272</v>
      </c>
      <c r="G216" s="56">
        <v>4543</v>
      </c>
      <c r="H216" s="57">
        <v>20895</v>
      </c>
    </row>
    <row r="217" spans="1:8" s="26" customFormat="1" ht="15" customHeight="1" x14ac:dyDescent="0.3">
      <c r="A217" s="88"/>
      <c r="B217" s="85"/>
      <c r="C217" s="51" t="s">
        <v>19</v>
      </c>
      <c r="D217" s="56">
        <v>1752</v>
      </c>
      <c r="E217" s="56">
        <v>2468</v>
      </c>
      <c r="F217" s="56">
        <v>10654</v>
      </c>
      <c r="G217" s="56">
        <v>4236</v>
      </c>
      <c r="H217" s="57">
        <v>19116</v>
      </c>
    </row>
    <row r="218" spans="1:8" s="26" customFormat="1" ht="15" customHeight="1" x14ac:dyDescent="0.3">
      <c r="A218" s="88"/>
      <c r="B218" s="85"/>
      <c r="C218" s="51" t="s">
        <v>26</v>
      </c>
      <c r="D218" s="56">
        <v>3181</v>
      </c>
      <c r="E218" s="56">
        <v>5118</v>
      </c>
      <c r="F218" s="56">
        <v>22932</v>
      </c>
      <c r="G218" s="56">
        <v>8779</v>
      </c>
      <c r="H218" s="57">
        <v>40019</v>
      </c>
    </row>
    <row r="219" spans="1:8" s="26" customFormat="1" ht="15" customHeight="1" x14ac:dyDescent="0.3">
      <c r="A219" s="88" t="s">
        <v>118</v>
      </c>
      <c r="B219" s="85" t="s">
        <v>55</v>
      </c>
      <c r="C219" s="51" t="s">
        <v>18</v>
      </c>
      <c r="D219" s="59">
        <v>1801</v>
      </c>
      <c r="E219" s="59">
        <v>4019</v>
      </c>
      <c r="F219" s="59">
        <v>15214</v>
      </c>
      <c r="G219" s="59">
        <v>5877</v>
      </c>
      <c r="H219" s="61">
        <v>26911</v>
      </c>
    </row>
    <row r="220" spans="1:8" s="26" customFormat="1" ht="15" customHeight="1" x14ac:dyDescent="0.3">
      <c r="A220" s="88"/>
      <c r="B220" s="85"/>
      <c r="C220" s="51" t="s">
        <v>19</v>
      </c>
      <c r="D220" s="59">
        <v>2046</v>
      </c>
      <c r="E220" s="59">
        <v>3630</v>
      </c>
      <c r="F220" s="59">
        <v>13596</v>
      </c>
      <c r="G220" s="59">
        <v>5874</v>
      </c>
      <c r="H220" s="61">
        <v>25146</v>
      </c>
    </row>
    <row r="221" spans="1:8" s="26" customFormat="1" ht="15" customHeight="1" x14ac:dyDescent="0.3">
      <c r="A221" s="88"/>
      <c r="B221" s="85"/>
      <c r="C221" s="51" t="s">
        <v>26</v>
      </c>
      <c r="D221" s="59">
        <v>3847</v>
      </c>
      <c r="E221" s="59">
        <v>7649</v>
      </c>
      <c r="F221" s="59">
        <v>28812</v>
      </c>
      <c r="G221" s="59">
        <v>11751</v>
      </c>
      <c r="H221" s="61">
        <v>52059</v>
      </c>
    </row>
    <row r="222" spans="1:8" s="26" customFormat="1" ht="15" customHeight="1" x14ac:dyDescent="0.3">
      <c r="A222" s="88"/>
      <c r="B222" s="85" t="s">
        <v>56</v>
      </c>
      <c r="C222" s="51" t="s">
        <v>18</v>
      </c>
      <c r="D222" s="59">
        <v>1801</v>
      </c>
      <c r="E222" s="59">
        <v>4346</v>
      </c>
      <c r="F222" s="59">
        <v>16126</v>
      </c>
      <c r="G222" s="59">
        <v>6232</v>
      </c>
      <c r="H222" s="61">
        <v>28505</v>
      </c>
    </row>
    <row r="223" spans="1:8" s="26" customFormat="1" ht="15" customHeight="1" x14ac:dyDescent="0.3">
      <c r="A223" s="88"/>
      <c r="B223" s="85"/>
      <c r="C223" s="51" t="s">
        <v>19</v>
      </c>
      <c r="D223" s="59">
        <v>2165</v>
      </c>
      <c r="E223" s="59">
        <v>4049</v>
      </c>
      <c r="F223" s="59">
        <v>14009</v>
      </c>
      <c r="G223" s="59">
        <v>6096</v>
      </c>
      <c r="H223" s="61">
        <v>26319</v>
      </c>
    </row>
    <row r="224" spans="1:8" s="26" customFormat="1" ht="15" customHeight="1" x14ac:dyDescent="0.3">
      <c r="A224" s="88"/>
      <c r="B224" s="85"/>
      <c r="C224" s="51" t="s">
        <v>26</v>
      </c>
      <c r="D224" s="59">
        <v>3966</v>
      </c>
      <c r="E224" s="59">
        <v>8395</v>
      </c>
      <c r="F224" s="59">
        <v>30136</v>
      </c>
      <c r="G224" s="59">
        <v>12328</v>
      </c>
      <c r="H224" s="61">
        <v>54825</v>
      </c>
    </row>
    <row r="225" spans="1:8" s="26" customFormat="1" ht="15" customHeight="1" x14ac:dyDescent="0.3">
      <c r="A225" s="88"/>
      <c r="B225" s="85" t="s">
        <v>57</v>
      </c>
      <c r="C225" s="51" t="s">
        <v>18</v>
      </c>
      <c r="D225" s="59">
        <v>1636</v>
      </c>
      <c r="E225" s="59">
        <v>3957</v>
      </c>
      <c r="F225" s="59">
        <v>15213</v>
      </c>
      <c r="G225" s="59">
        <v>6156</v>
      </c>
      <c r="H225" s="61">
        <v>26962</v>
      </c>
    </row>
    <row r="226" spans="1:8" s="26" customFormat="1" ht="15" customHeight="1" x14ac:dyDescent="0.3">
      <c r="A226" s="88"/>
      <c r="B226" s="85"/>
      <c r="C226" s="51" t="s">
        <v>19</v>
      </c>
      <c r="D226" s="59">
        <v>1916</v>
      </c>
      <c r="E226" s="59">
        <v>3531</v>
      </c>
      <c r="F226" s="59">
        <v>13566</v>
      </c>
      <c r="G226" s="59">
        <v>6146</v>
      </c>
      <c r="H226" s="61">
        <v>25159</v>
      </c>
    </row>
    <row r="227" spans="1:8" s="26" customFormat="1" ht="15" customHeight="1" x14ac:dyDescent="0.3">
      <c r="A227" s="88"/>
      <c r="B227" s="85"/>
      <c r="C227" s="51" t="s">
        <v>26</v>
      </c>
      <c r="D227" s="59">
        <v>3553</v>
      </c>
      <c r="E227" s="59">
        <v>7488</v>
      </c>
      <c r="F227" s="59">
        <v>28780</v>
      </c>
      <c r="G227" s="59">
        <v>12302</v>
      </c>
      <c r="H227" s="61">
        <v>52123</v>
      </c>
    </row>
    <row r="228" spans="1:8" s="26" customFormat="1" ht="15" customHeight="1" x14ac:dyDescent="0.3">
      <c r="A228" s="88"/>
      <c r="B228" s="85" t="s">
        <v>58</v>
      </c>
      <c r="C228" s="51" t="s">
        <v>18</v>
      </c>
      <c r="D228" s="59">
        <v>1691</v>
      </c>
      <c r="E228" s="59">
        <v>4098</v>
      </c>
      <c r="F228" s="59">
        <v>17392</v>
      </c>
      <c r="G228" s="59">
        <v>6770</v>
      </c>
      <c r="H228" s="61">
        <v>29952</v>
      </c>
    </row>
    <row r="229" spans="1:8" s="26" customFormat="1" ht="15" customHeight="1" x14ac:dyDescent="0.3">
      <c r="A229" s="88"/>
      <c r="B229" s="85"/>
      <c r="C229" s="51" t="s">
        <v>19</v>
      </c>
      <c r="D229" s="59">
        <v>2012</v>
      </c>
      <c r="E229" s="59">
        <v>3704</v>
      </c>
      <c r="F229" s="59">
        <v>15762</v>
      </c>
      <c r="G229" s="59">
        <v>6787</v>
      </c>
      <c r="H229" s="61">
        <v>28265</v>
      </c>
    </row>
    <row r="230" spans="1:8" s="26" customFormat="1" ht="15" customHeight="1" x14ac:dyDescent="0.3">
      <c r="A230" s="88"/>
      <c r="B230" s="85"/>
      <c r="C230" s="51" t="s">
        <v>26</v>
      </c>
      <c r="D230" s="59">
        <v>3703</v>
      </c>
      <c r="E230" s="59">
        <v>7802</v>
      </c>
      <c r="F230" s="59">
        <v>33155</v>
      </c>
      <c r="G230" s="59">
        <v>13557</v>
      </c>
      <c r="H230" s="61">
        <v>58218</v>
      </c>
    </row>
    <row r="231" spans="1:8" s="26" customFormat="1" ht="15" customHeight="1" x14ac:dyDescent="0.3">
      <c r="A231" s="88"/>
      <c r="B231" s="85" t="s">
        <v>59</v>
      </c>
      <c r="C231" s="51" t="s">
        <v>18</v>
      </c>
      <c r="D231" s="59">
        <v>1658</v>
      </c>
      <c r="E231" s="59">
        <v>3931</v>
      </c>
      <c r="F231" s="59">
        <v>17564</v>
      </c>
      <c r="G231" s="59">
        <v>6867</v>
      </c>
      <c r="H231" s="61">
        <v>30020</v>
      </c>
    </row>
    <row r="232" spans="1:8" s="26" customFormat="1" ht="15" customHeight="1" x14ac:dyDescent="0.3">
      <c r="A232" s="88"/>
      <c r="B232" s="85"/>
      <c r="C232" s="51" t="s">
        <v>19</v>
      </c>
      <c r="D232" s="59">
        <v>1946</v>
      </c>
      <c r="E232" s="59">
        <v>3650</v>
      </c>
      <c r="F232" s="59">
        <v>15327</v>
      </c>
      <c r="G232" s="59">
        <v>6477</v>
      </c>
      <c r="H232" s="61">
        <v>27400</v>
      </c>
    </row>
    <row r="233" spans="1:8" s="26" customFormat="1" ht="15" customHeight="1" x14ac:dyDescent="0.3">
      <c r="A233" s="88"/>
      <c r="B233" s="85"/>
      <c r="C233" s="51" t="s">
        <v>26</v>
      </c>
      <c r="D233" s="59">
        <v>3605</v>
      </c>
      <c r="E233" s="59">
        <v>7582</v>
      </c>
      <c r="F233" s="59">
        <v>32891</v>
      </c>
      <c r="G233" s="59">
        <v>13346</v>
      </c>
      <c r="H233" s="61">
        <v>57424</v>
      </c>
    </row>
    <row r="234" spans="1:8" s="26" customFormat="1" ht="15" customHeight="1" x14ac:dyDescent="0.3">
      <c r="A234" s="88"/>
      <c r="B234" s="85" t="s">
        <v>60</v>
      </c>
      <c r="C234" s="51" t="s">
        <v>18</v>
      </c>
      <c r="D234" s="59">
        <v>1630</v>
      </c>
      <c r="E234" s="59">
        <v>4284</v>
      </c>
      <c r="F234" s="59">
        <v>16894</v>
      </c>
      <c r="G234" s="59">
        <v>6502</v>
      </c>
      <c r="H234" s="61">
        <v>29310</v>
      </c>
    </row>
    <row r="235" spans="1:8" s="26" customFormat="1" ht="15" customHeight="1" x14ac:dyDescent="0.3">
      <c r="A235" s="88"/>
      <c r="B235" s="85"/>
      <c r="C235" s="51" t="s">
        <v>19</v>
      </c>
      <c r="D235" s="59">
        <v>1967</v>
      </c>
      <c r="E235" s="59">
        <v>4374</v>
      </c>
      <c r="F235" s="59">
        <v>14426</v>
      </c>
      <c r="G235" s="59">
        <v>6384</v>
      </c>
      <c r="H235" s="61">
        <v>27151</v>
      </c>
    </row>
    <row r="236" spans="1:8" s="26" customFormat="1" ht="15" customHeight="1" x14ac:dyDescent="0.3">
      <c r="A236" s="88"/>
      <c r="B236" s="85"/>
      <c r="C236" s="51" t="s">
        <v>26</v>
      </c>
      <c r="D236" s="59">
        <v>3597</v>
      </c>
      <c r="E236" s="59">
        <v>8660</v>
      </c>
      <c r="F236" s="59">
        <v>31321</v>
      </c>
      <c r="G236" s="59">
        <v>12886</v>
      </c>
      <c r="H236" s="61">
        <v>56464</v>
      </c>
    </row>
    <row r="237" spans="1:8" s="26" customFormat="1" ht="15" customHeight="1" x14ac:dyDescent="0.3">
      <c r="A237" s="88"/>
      <c r="B237" s="85" t="s">
        <v>61</v>
      </c>
      <c r="C237" s="51" t="s">
        <v>18</v>
      </c>
      <c r="D237" s="59">
        <v>1794</v>
      </c>
      <c r="E237" s="59">
        <v>4556</v>
      </c>
      <c r="F237" s="59">
        <v>17356</v>
      </c>
      <c r="G237" s="59">
        <v>6629</v>
      </c>
      <c r="H237" s="61">
        <v>30335</v>
      </c>
    </row>
    <row r="238" spans="1:8" s="26" customFormat="1" ht="15" customHeight="1" x14ac:dyDescent="0.3">
      <c r="A238" s="88"/>
      <c r="B238" s="85"/>
      <c r="C238" s="51" t="s">
        <v>19</v>
      </c>
      <c r="D238" s="59">
        <v>2182</v>
      </c>
      <c r="E238" s="59">
        <v>4330</v>
      </c>
      <c r="F238" s="59">
        <v>14793</v>
      </c>
      <c r="G238" s="59">
        <v>6403</v>
      </c>
      <c r="H238" s="61">
        <v>27708</v>
      </c>
    </row>
    <row r="239" spans="1:8" s="26" customFormat="1" ht="15" customHeight="1" x14ac:dyDescent="0.3">
      <c r="A239" s="88"/>
      <c r="B239" s="85"/>
      <c r="C239" s="51" t="s">
        <v>26</v>
      </c>
      <c r="D239" s="59">
        <v>3976</v>
      </c>
      <c r="E239" s="59">
        <v>8886</v>
      </c>
      <c r="F239" s="59">
        <v>32150</v>
      </c>
      <c r="G239" s="59">
        <v>13032</v>
      </c>
      <c r="H239" s="61">
        <v>58044</v>
      </c>
    </row>
    <row r="240" spans="1:8" s="26" customFormat="1" ht="15" customHeight="1" x14ac:dyDescent="0.3">
      <c r="A240" s="88"/>
      <c r="B240" s="85" t="s">
        <v>62</v>
      </c>
      <c r="C240" s="51" t="s">
        <v>18</v>
      </c>
      <c r="D240" s="59">
        <v>1835</v>
      </c>
      <c r="E240" s="59">
        <v>4411</v>
      </c>
      <c r="F240" s="59">
        <v>16318</v>
      </c>
      <c r="G240" s="59">
        <v>6062</v>
      </c>
      <c r="H240" s="61">
        <v>28626</v>
      </c>
    </row>
    <row r="241" spans="1:8" s="26" customFormat="1" ht="15" customHeight="1" x14ac:dyDescent="0.3">
      <c r="A241" s="88"/>
      <c r="B241" s="85"/>
      <c r="C241" s="51" t="s">
        <v>19</v>
      </c>
      <c r="D241" s="59">
        <v>2361</v>
      </c>
      <c r="E241" s="59">
        <v>3838</v>
      </c>
      <c r="F241" s="59">
        <v>13823</v>
      </c>
      <c r="G241" s="59">
        <v>6010</v>
      </c>
      <c r="H241" s="61">
        <v>26032</v>
      </c>
    </row>
    <row r="242" spans="1:8" s="26" customFormat="1" ht="15" customHeight="1" x14ac:dyDescent="0.3">
      <c r="A242" s="88"/>
      <c r="B242" s="85"/>
      <c r="C242" s="51" t="s">
        <v>26</v>
      </c>
      <c r="D242" s="59">
        <v>4196</v>
      </c>
      <c r="E242" s="59">
        <v>8249</v>
      </c>
      <c r="F242" s="59">
        <v>30142</v>
      </c>
      <c r="G242" s="59">
        <v>12072</v>
      </c>
      <c r="H242" s="61">
        <v>54659</v>
      </c>
    </row>
    <row r="243" spans="1:8" s="26" customFormat="1" ht="15" customHeight="1" x14ac:dyDescent="0.3">
      <c r="A243" s="88"/>
      <c r="B243" s="85" t="s">
        <v>63</v>
      </c>
      <c r="C243" s="51" t="s">
        <v>18</v>
      </c>
      <c r="D243" s="59">
        <v>2724</v>
      </c>
      <c r="E243" s="59">
        <v>4214</v>
      </c>
      <c r="F243" s="59">
        <v>16727</v>
      </c>
      <c r="G243" s="59">
        <v>6205</v>
      </c>
      <c r="H243" s="61">
        <v>29870</v>
      </c>
    </row>
    <row r="244" spans="1:8" s="26" customFormat="1" ht="15" customHeight="1" x14ac:dyDescent="0.3">
      <c r="A244" s="88"/>
      <c r="B244" s="85"/>
      <c r="C244" s="51" t="s">
        <v>19</v>
      </c>
      <c r="D244" s="59">
        <v>3247</v>
      </c>
      <c r="E244" s="59">
        <v>3885</v>
      </c>
      <c r="F244" s="59">
        <v>14421</v>
      </c>
      <c r="G244" s="59">
        <v>5988</v>
      </c>
      <c r="H244" s="61">
        <v>27541</v>
      </c>
    </row>
    <row r="245" spans="1:8" s="26" customFormat="1" ht="15" customHeight="1" x14ac:dyDescent="0.3">
      <c r="A245" s="88"/>
      <c r="B245" s="85"/>
      <c r="C245" s="51" t="s">
        <v>26</v>
      </c>
      <c r="D245" s="59">
        <v>5971</v>
      </c>
      <c r="E245" s="59">
        <v>8099</v>
      </c>
      <c r="F245" s="59">
        <v>31149</v>
      </c>
      <c r="G245" s="59">
        <v>12193</v>
      </c>
      <c r="H245" s="61">
        <v>57412</v>
      </c>
    </row>
    <row r="246" spans="1:8" s="26" customFormat="1" ht="15" customHeight="1" x14ac:dyDescent="0.3">
      <c r="A246" s="88"/>
      <c r="B246" s="85" t="s">
        <v>64</v>
      </c>
      <c r="C246" s="51" t="s">
        <v>18</v>
      </c>
      <c r="D246" s="56">
        <v>2647</v>
      </c>
      <c r="E246" s="56">
        <v>4489</v>
      </c>
      <c r="F246" s="56">
        <v>17306</v>
      </c>
      <c r="G246" s="56">
        <v>6417</v>
      </c>
      <c r="H246" s="57">
        <v>30860</v>
      </c>
    </row>
    <row r="247" spans="1:8" s="26" customFormat="1" ht="15" customHeight="1" x14ac:dyDescent="0.3">
      <c r="A247" s="88"/>
      <c r="B247" s="85"/>
      <c r="C247" s="51" t="s">
        <v>19</v>
      </c>
      <c r="D247" s="56">
        <v>3107</v>
      </c>
      <c r="E247" s="56">
        <v>4013</v>
      </c>
      <c r="F247" s="56">
        <v>15076</v>
      </c>
      <c r="G247" s="56">
        <v>5883</v>
      </c>
      <c r="H247" s="57">
        <v>28079</v>
      </c>
    </row>
    <row r="248" spans="1:8" s="26" customFormat="1" ht="15" customHeight="1" x14ac:dyDescent="0.3">
      <c r="A248" s="88"/>
      <c r="B248" s="85"/>
      <c r="C248" s="51" t="s">
        <v>26</v>
      </c>
      <c r="D248" s="56">
        <v>5754</v>
      </c>
      <c r="E248" s="56">
        <v>8502</v>
      </c>
      <c r="F248" s="56">
        <v>32382</v>
      </c>
      <c r="G248" s="56">
        <v>12301</v>
      </c>
      <c r="H248" s="57">
        <v>58940</v>
      </c>
    </row>
    <row r="249" spans="1:8" s="26" customFormat="1" ht="15" customHeight="1" x14ac:dyDescent="0.3">
      <c r="A249" s="88"/>
      <c r="B249" s="85" t="s">
        <v>65</v>
      </c>
      <c r="C249" s="51" t="s">
        <v>18</v>
      </c>
      <c r="D249" s="56">
        <v>2048</v>
      </c>
      <c r="E249" s="56">
        <v>4076</v>
      </c>
      <c r="F249" s="56">
        <v>16008</v>
      </c>
      <c r="G249" s="56">
        <v>5580</v>
      </c>
      <c r="H249" s="57">
        <v>27712</v>
      </c>
    </row>
    <row r="250" spans="1:8" s="26" customFormat="1" ht="15" customHeight="1" x14ac:dyDescent="0.3">
      <c r="A250" s="88"/>
      <c r="B250" s="85"/>
      <c r="C250" s="51" t="s">
        <v>19</v>
      </c>
      <c r="D250" s="56">
        <v>2361</v>
      </c>
      <c r="E250" s="56">
        <v>3649</v>
      </c>
      <c r="F250" s="56">
        <v>13439</v>
      </c>
      <c r="G250" s="56">
        <v>5187</v>
      </c>
      <c r="H250" s="57">
        <v>24636</v>
      </c>
    </row>
    <row r="251" spans="1:8" s="26" customFormat="1" ht="15" customHeight="1" x14ac:dyDescent="0.3">
      <c r="A251" s="88"/>
      <c r="B251" s="85"/>
      <c r="C251" s="51" t="s">
        <v>26</v>
      </c>
      <c r="D251" s="56">
        <v>4409</v>
      </c>
      <c r="E251" s="56">
        <v>7725</v>
      </c>
      <c r="F251" s="56">
        <v>29449</v>
      </c>
      <c r="G251" s="56">
        <v>10767</v>
      </c>
      <c r="H251" s="57">
        <v>52350</v>
      </c>
    </row>
    <row r="252" spans="1:8" s="26" customFormat="1" ht="15" customHeight="1" x14ac:dyDescent="0.3">
      <c r="A252" s="88"/>
      <c r="B252" s="85" t="s">
        <v>66</v>
      </c>
      <c r="C252" s="51" t="s">
        <v>18</v>
      </c>
      <c r="D252" s="56">
        <v>2257</v>
      </c>
      <c r="E252" s="56">
        <v>5057</v>
      </c>
      <c r="F252" s="56">
        <v>18412</v>
      </c>
      <c r="G252" s="56">
        <v>6727</v>
      </c>
      <c r="H252" s="57">
        <v>32453</v>
      </c>
    </row>
    <row r="253" spans="1:8" s="26" customFormat="1" ht="15" customHeight="1" x14ac:dyDescent="0.3">
      <c r="A253" s="88"/>
      <c r="B253" s="85"/>
      <c r="C253" s="51" t="s">
        <v>19</v>
      </c>
      <c r="D253" s="56">
        <v>2719</v>
      </c>
      <c r="E253" s="56">
        <v>4392</v>
      </c>
      <c r="F253" s="56">
        <v>15914</v>
      </c>
      <c r="G253" s="56">
        <v>6433</v>
      </c>
      <c r="H253" s="57">
        <v>29458</v>
      </c>
    </row>
    <row r="254" spans="1:8" s="26" customFormat="1" ht="15" customHeight="1" x14ac:dyDescent="0.3">
      <c r="A254" s="88"/>
      <c r="B254" s="85"/>
      <c r="C254" s="51" t="s">
        <v>26</v>
      </c>
      <c r="D254" s="56">
        <v>4976</v>
      </c>
      <c r="E254" s="56">
        <v>9449</v>
      </c>
      <c r="F254" s="56">
        <v>34326</v>
      </c>
      <c r="G254" s="56">
        <v>13160</v>
      </c>
      <c r="H254" s="57">
        <v>61911</v>
      </c>
    </row>
    <row r="255" spans="1:8" s="26" customFormat="1" ht="15" customHeight="1" x14ac:dyDescent="0.3">
      <c r="A255" s="88" t="s">
        <v>1</v>
      </c>
      <c r="B255" s="85" t="s">
        <v>55</v>
      </c>
      <c r="C255" s="51" t="s">
        <v>18</v>
      </c>
      <c r="D255" s="56">
        <v>6466</v>
      </c>
      <c r="E255" s="56">
        <v>14397</v>
      </c>
      <c r="F255" s="56">
        <v>57893</v>
      </c>
      <c r="G255" s="56">
        <v>20295</v>
      </c>
      <c r="H255" s="57">
        <v>99060</v>
      </c>
    </row>
    <row r="256" spans="1:8" s="26" customFormat="1" ht="15" customHeight="1" x14ac:dyDescent="0.3">
      <c r="A256" s="88"/>
      <c r="B256" s="85"/>
      <c r="C256" s="51" t="s">
        <v>19</v>
      </c>
      <c r="D256" s="56">
        <v>7942</v>
      </c>
      <c r="E256" s="56">
        <v>14528</v>
      </c>
      <c r="F256" s="56">
        <v>50070</v>
      </c>
      <c r="G256" s="56">
        <v>19064</v>
      </c>
      <c r="H256" s="57">
        <v>91626</v>
      </c>
    </row>
    <row r="257" spans="1:8" s="26" customFormat="1" ht="15" customHeight="1" x14ac:dyDescent="0.3">
      <c r="A257" s="88"/>
      <c r="B257" s="85"/>
      <c r="C257" s="51" t="s">
        <v>26</v>
      </c>
      <c r="D257" s="56">
        <v>14409</v>
      </c>
      <c r="E257" s="56">
        <v>28936</v>
      </c>
      <c r="F257" s="56">
        <v>108049</v>
      </c>
      <c r="G257" s="56">
        <v>39364</v>
      </c>
      <c r="H257" s="57">
        <v>190845</v>
      </c>
    </row>
    <row r="258" spans="1:8" s="26" customFormat="1" ht="15" customHeight="1" x14ac:dyDescent="0.3">
      <c r="A258" s="88"/>
      <c r="B258" s="85" t="s">
        <v>56</v>
      </c>
      <c r="C258" s="51" t="s">
        <v>18</v>
      </c>
      <c r="D258" s="56">
        <v>6185</v>
      </c>
      <c r="E258" s="56">
        <v>15464</v>
      </c>
      <c r="F258" s="56">
        <v>60493</v>
      </c>
      <c r="G258" s="56">
        <v>21412</v>
      </c>
      <c r="H258" s="57">
        <v>103564</v>
      </c>
    </row>
    <row r="259" spans="1:8" s="26" customFormat="1" ht="15" customHeight="1" x14ac:dyDescent="0.3">
      <c r="A259" s="88"/>
      <c r="B259" s="85"/>
      <c r="C259" s="51" t="s">
        <v>19</v>
      </c>
      <c r="D259" s="56">
        <v>7752</v>
      </c>
      <c r="E259" s="56">
        <v>15619</v>
      </c>
      <c r="F259" s="56">
        <v>51721</v>
      </c>
      <c r="G259" s="56">
        <v>20384</v>
      </c>
      <c r="H259" s="57">
        <v>95496</v>
      </c>
    </row>
    <row r="260" spans="1:8" s="26" customFormat="1" ht="15" customHeight="1" x14ac:dyDescent="0.3">
      <c r="A260" s="88"/>
      <c r="B260" s="85"/>
      <c r="C260" s="51" t="s">
        <v>26</v>
      </c>
      <c r="D260" s="56">
        <v>13938</v>
      </c>
      <c r="E260" s="56">
        <v>31093</v>
      </c>
      <c r="F260" s="56">
        <v>112308</v>
      </c>
      <c r="G260" s="56">
        <v>41800</v>
      </c>
      <c r="H260" s="57">
        <v>199231</v>
      </c>
    </row>
    <row r="261" spans="1:8" s="26" customFormat="1" ht="15" customHeight="1" x14ac:dyDescent="0.3">
      <c r="A261" s="88"/>
      <c r="B261" s="85" t="s">
        <v>57</v>
      </c>
      <c r="C261" s="51" t="s">
        <v>18</v>
      </c>
      <c r="D261" s="56">
        <v>6033</v>
      </c>
      <c r="E261" s="56">
        <v>13798</v>
      </c>
      <c r="F261" s="56">
        <v>57665</v>
      </c>
      <c r="G261" s="56">
        <v>20863</v>
      </c>
      <c r="H261" s="57">
        <v>98371</v>
      </c>
    </row>
    <row r="262" spans="1:8" s="26" customFormat="1" ht="15" customHeight="1" x14ac:dyDescent="0.3">
      <c r="A262" s="88"/>
      <c r="B262" s="85"/>
      <c r="C262" s="51" t="s">
        <v>19</v>
      </c>
      <c r="D262" s="56">
        <v>7282</v>
      </c>
      <c r="E262" s="56">
        <v>14641</v>
      </c>
      <c r="F262" s="56">
        <v>50932</v>
      </c>
      <c r="G262" s="56">
        <v>20110</v>
      </c>
      <c r="H262" s="57">
        <v>92996</v>
      </c>
    </row>
    <row r="263" spans="1:8" s="26" customFormat="1" ht="15" customHeight="1" x14ac:dyDescent="0.3">
      <c r="A263" s="88"/>
      <c r="B263" s="85"/>
      <c r="C263" s="51" t="s">
        <v>26</v>
      </c>
      <c r="D263" s="56">
        <v>13317</v>
      </c>
      <c r="E263" s="56">
        <v>28449</v>
      </c>
      <c r="F263" s="56">
        <v>108691</v>
      </c>
      <c r="G263" s="56">
        <v>40976</v>
      </c>
      <c r="H263" s="57">
        <v>191528</v>
      </c>
    </row>
    <row r="264" spans="1:8" s="26" customFormat="1" ht="15" customHeight="1" x14ac:dyDescent="0.3">
      <c r="A264" s="88"/>
      <c r="B264" s="85" t="s">
        <v>58</v>
      </c>
      <c r="C264" s="51" t="s">
        <v>18</v>
      </c>
      <c r="D264" s="56">
        <v>5965</v>
      </c>
      <c r="E264" s="56">
        <v>12993</v>
      </c>
      <c r="F264" s="56">
        <v>61412</v>
      </c>
      <c r="G264" s="56">
        <v>22236</v>
      </c>
      <c r="H264" s="57">
        <v>102616</v>
      </c>
    </row>
    <row r="265" spans="1:8" s="26" customFormat="1" ht="15" customHeight="1" x14ac:dyDescent="0.3">
      <c r="A265" s="88"/>
      <c r="B265" s="85"/>
      <c r="C265" s="51" t="s">
        <v>19</v>
      </c>
      <c r="D265" s="56">
        <v>7231</v>
      </c>
      <c r="E265" s="56">
        <v>13136</v>
      </c>
      <c r="F265" s="56">
        <v>55929</v>
      </c>
      <c r="G265" s="56">
        <v>21358</v>
      </c>
      <c r="H265" s="57">
        <v>97675</v>
      </c>
    </row>
    <row r="266" spans="1:8" s="26" customFormat="1" ht="15" customHeight="1" x14ac:dyDescent="0.3">
      <c r="A266" s="88"/>
      <c r="B266" s="85"/>
      <c r="C266" s="51" t="s">
        <v>26</v>
      </c>
      <c r="D266" s="56">
        <v>13197</v>
      </c>
      <c r="E266" s="56">
        <v>26142</v>
      </c>
      <c r="F266" s="56">
        <v>117426</v>
      </c>
      <c r="G266" s="56">
        <v>43601</v>
      </c>
      <c r="H266" s="57">
        <v>200456</v>
      </c>
    </row>
    <row r="267" spans="1:8" s="26" customFormat="1" ht="15" customHeight="1" x14ac:dyDescent="0.3">
      <c r="A267" s="88"/>
      <c r="B267" s="85" t="s">
        <v>59</v>
      </c>
      <c r="C267" s="51" t="s">
        <v>18</v>
      </c>
      <c r="D267" s="56">
        <v>5556</v>
      </c>
      <c r="E267" s="56">
        <v>12261</v>
      </c>
      <c r="F267" s="56">
        <v>60367</v>
      </c>
      <c r="G267" s="56">
        <v>22025</v>
      </c>
      <c r="H267" s="57">
        <v>100222</v>
      </c>
    </row>
    <row r="268" spans="1:8" s="26" customFormat="1" ht="15" customHeight="1" x14ac:dyDescent="0.3">
      <c r="A268" s="88"/>
      <c r="B268" s="85"/>
      <c r="C268" s="51" t="s">
        <v>19</v>
      </c>
      <c r="D268" s="56">
        <v>7034</v>
      </c>
      <c r="E268" s="56">
        <v>13099</v>
      </c>
      <c r="F268" s="56">
        <v>54316</v>
      </c>
      <c r="G268" s="56">
        <v>20965</v>
      </c>
      <c r="H268" s="57">
        <v>95433</v>
      </c>
    </row>
    <row r="269" spans="1:8" s="26" customFormat="1" ht="15" customHeight="1" x14ac:dyDescent="0.3">
      <c r="A269" s="88"/>
      <c r="B269" s="85"/>
      <c r="C269" s="51" t="s">
        <v>26</v>
      </c>
      <c r="D269" s="56">
        <v>12590</v>
      </c>
      <c r="E269" s="56">
        <v>25375</v>
      </c>
      <c r="F269" s="56">
        <v>114784</v>
      </c>
      <c r="G269" s="56">
        <v>42999</v>
      </c>
      <c r="H269" s="57">
        <v>195834</v>
      </c>
    </row>
    <row r="270" spans="1:8" s="26" customFormat="1" ht="15" customHeight="1" x14ac:dyDescent="0.3">
      <c r="A270" s="88"/>
      <c r="B270" s="85" t="s">
        <v>60</v>
      </c>
      <c r="C270" s="51" t="s">
        <v>18</v>
      </c>
      <c r="D270" s="56">
        <v>5795</v>
      </c>
      <c r="E270" s="56">
        <v>14237</v>
      </c>
      <c r="F270" s="56">
        <v>58396</v>
      </c>
      <c r="G270" s="56">
        <v>20922</v>
      </c>
      <c r="H270" s="57">
        <v>99365</v>
      </c>
    </row>
    <row r="271" spans="1:8" s="26" customFormat="1" ht="15" customHeight="1" x14ac:dyDescent="0.3">
      <c r="A271" s="88"/>
      <c r="B271" s="85"/>
      <c r="C271" s="51" t="s">
        <v>19</v>
      </c>
      <c r="D271" s="56">
        <v>7092</v>
      </c>
      <c r="E271" s="56">
        <v>15351</v>
      </c>
      <c r="F271" s="56">
        <v>51005</v>
      </c>
      <c r="G271" s="56">
        <v>19934</v>
      </c>
      <c r="H271" s="57">
        <v>93406</v>
      </c>
    </row>
    <row r="272" spans="1:8" s="26" customFormat="1" ht="15" customHeight="1" x14ac:dyDescent="0.3">
      <c r="A272" s="88"/>
      <c r="B272" s="85"/>
      <c r="C272" s="51" t="s">
        <v>26</v>
      </c>
      <c r="D272" s="56">
        <v>12887</v>
      </c>
      <c r="E272" s="56">
        <v>29596</v>
      </c>
      <c r="F272" s="56">
        <v>109473</v>
      </c>
      <c r="G272" s="56">
        <v>40861</v>
      </c>
      <c r="H272" s="57">
        <v>192912</v>
      </c>
    </row>
    <row r="273" spans="1:8" s="26" customFormat="1" ht="15" customHeight="1" x14ac:dyDescent="0.3">
      <c r="A273" s="88"/>
      <c r="B273" s="85" t="s">
        <v>61</v>
      </c>
      <c r="C273" s="51" t="s">
        <v>18</v>
      </c>
      <c r="D273" s="56">
        <v>6138</v>
      </c>
      <c r="E273" s="56">
        <v>14309</v>
      </c>
      <c r="F273" s="56">
        <v>59353</v>
      </c>
      <c r="G273" s="56">
        <v>20836</v>
      </c>
      <c r="H273" s="57">
        <v>100647</v>
      </c>
    </row>
    <row r="274" spans="1:8" s="26" customFormat="1" ht="15" customHeight="1" x14ac:dyDescent="0.3">
      <c r="A274" s="88"/>
      <c r="B274" s="85"/>
      <c r="C274" s="51" t="s">
        <v>19</v>
      </c>
      <c r="D274" s="56">
        <v>7467</v>
      </c>
      <c r="E274" s="56">
        <v>15194</v>
      </c>
      <c r="F274" s="56">
        <v>50720</v>
      </c>
      <c r="G274" s="56">
        <v>20358</v>
      </c>
      <c r="H274" s="57">
        <v>93756</v>
      </c>
    </row>
    <row r="275" spans="1:8" s="26" customFormat="1" ht="15" customHeight="1" x14ac:dyDescent="0.3">
      <c r="A275" s="88"/>
      <c r="B275" s="85"/>
      <c r="C275" s="51" t="s">
        <v>26</v>
      </c>
      <c r="D275" s="56">
        <v>13605</v>
      </c>
      <c r="E275" s="56">
        <v>29512</v>
      </c>
      <c r="F275" s="56">
        <v>110147</v>
      </c>
      <c r="G275" s="56">
        <v>41200</v>
      </c>
      <c r="H275" s="57">
        <v>194539</v>
      </c>
    </row>
    <row r="276" spans="1:8" s="26" customFormat="1" ht="15" customHeight="1" x14ac:dyDescent="0.3">
      <c r="A276" s="88"/>
      <c r="B276" s="85" t="s">
        <v>62</v>
      </c>
      <c r="C276" s="51" t="s">
        <v>18</v>
      </c>
      <c r="D276" s="56">
        <v>6731</v>
      </c>
      <c r="E276" s="56">
        <v>13377</v>
      </c>
      <c r="F276" s="56">
        <v>56417</v>
      </c>
      <c r="G276" s="56">
        <v>19349</v>
      </c>
      <c r="H276" s="57">
        <v>95887</v>
      </c>
    </row>
    <row r="277" spans="1:8" s="26" customFormat="1" ht="15" customHeight="1" x14ac:dyDescent="0.3">
      <c r="A277" s="88"/>
      <c r="B277" s="85"/>
      <c r="C277" s="51" t="s">
        <v>19</v>
      </c>
      <c r="D277" s="56">
        <v>8417</v>
      </c>
      <c r="E277" s="56">
        <v>13870</v>
      </c>
      <c r="F277" s="56">
        <v>48243</v>
      </c>
      <c r="G277" s="56">
        <v>18125</v>
      </c>
      <c r="H277" s="57">
        <v>88670</v>
      </c>
    </row>
    <row r="278" spans="1:8" s="26" customFormat="1" ht="15" customHeight="1" x14ac:dyDescent="0.3">
      <c r="A278" s="88"/>
      <c r="B278" s="85"/>
      <c r="C278" s="51" t="s">
        <v>26</v>
      </c>
      <c r="D278" s="56">
        <v>15148</v>
      </c>
      <c r="E278" s="56">
        <v>27255</v>
      </c>
      <c r="F278" s="56">
        <v>104717</v>
      </c>
      <c r="G278" s="56">
        <v>37479</v>
      </c>
      <c r="H278" s="57">
        <v>184677</v>
      </c>
    </row>
    <row r="279" spans="1:8" s="26" customFormat="1" ht="15" customHeight="1" x14ac:dyDescent="0.3">
      <c r="A279" s="88"/>
      <c r="B279" s="85" t="s">
        <v>63</v>
      </c>
      <c r="C279" s="51" t="s">
        <v>18</v>
      </c>
      <c r="D279" s="56">
        <v>8817</v>
      </c>
      <c r="E279" s="56">
        <v>14584</v>
      </c>
      <c r="F279" s="56">
        <v>59013</v>
      </c>
      <c r="G279" s="56">
        <v>21039</v>
      </c>
      <c r="H279" s="57">
        <v>103463</v>
      </c>
    </row>
    <row r="280" spans="1:8" s="26" customFormat="1" ht="15" customHeight="1" x14ac:dyDescent="0.3">
      <c r="A280" s="88"/>
      <c r="B280" s="85"/>
      <c r="C280" s="51" t="s">
        <v>19</v>
      </c>
      <c r="D280" s="56">
        <v>10640</v>
      </c>
      <c r="E280" s="56">
        <v>14755</v>
      </c>
      <c r="F280" s="56">
        <v>51099</v>
      </c>
      <c r="G280" s="56">
        <v>19550</v>
      </c>
      <c r="H280" s="57">
        <v>96071</v>
      </c>
    </row>
    <row r="281" spans="1:8" s="26" customFormat="1" ht="15" customHeight="1" x14ac:dyDescent="0.3">
      <c r="A281" s="88"/>
      <c r="B281" s="85"/>
      <c r="C281" s="51" t="s">
        <v>26</v>
      </c>
      <c r="D281" s="56">
        <v>19457</v>
      </c>
      <c r="E281" s="56">
        <v>29345</v>
      </c>
      <c r="F281" s="56">
        <v>110211</v>
      </c>
      <c r="G281" s="56">
        <v>40595</v>
      </c>
      <c r="H281" s="57">
        <v>199713</v>
      </c>
    </row>
    <row r="282" spans="1:8" s="26" customFormat="1" ht="15" customHeight="1" x14ac:dyDescent="0.3">
      <c r="A282" s="88"/>
      <c r="B282" s="85" t="s">
        <v>64</v>
      </c>
      <c r="C282" s="51" t="s">
        <v>18</v>
      </c>
      <c r="D282" s="56">
        <v>7413</v>
      </c>
      <c r="E282" s="56">
        <v>14772</v>
      </c>
      <c r="F282" s="56">
        <v>60745</v>
      </c>
      <c r="G282" s="56">
        <v>21104</v>
      </c>
      <c r="H282" s="57">
        <v>104046</v>
      </c>
    </row>
    <row r="283" spans="1:8" s="26" customFormat="1" ht="15" customHeight="1" x14ac:dyDescent="0.3">
      <c r="A283" s="88"/>
      <c r="B283" s="85"/>
      <c r="C283" s="51" t="s">
        <v>19</v>
      </c>
      <c r="D283" s="56">
        <v>8916</v>
      </c>
      <c r="E283" s="56">
        <v>14331</v>
      </c>
      <c r="F283" s="56">
        <v>52622</v>
      </c>
      <c r="G283" s="56">
        <v>19358</v>
      </c>
      <c r="H283" s="57">
        <v>95235</v>
      </c>
    </row>
    <row r="284" spans="1:8" s="26" customFormat="1" ht="15" customHeight="1" x14ac:dyDescent="0.3">
      <c r="A284" s="88"/>
      <c r="B284" s="85"/>
      <c r="C284" s="51" t="s">
        <v>26</v>
      </c>
      <c r="D284" s="56">
        <v>16329</v>
      </c>
      <c r="E284" s="56">
        <v>29110</v>
      </c>
      <c r="F284" s="56">
        <v>113452</v>
      </c>
      <c r="G284" s="56">
        <v>40468</v>
      </c>
      <c r="H284" s="57">
        <v>199418</v>
      </c>
    </row>
    <row r="285" spans="1:8" s="26" customFormat="1" ht="15" customHeight="1" x14ac:dyDescent="0.3">
      <c r="A285" s="88"/>
      <c r="B285" s="85" t="s">
        <v>65</v>
      </c>
      <c r="C285" s="51" t="s">
        <v>18</v>
      </c>
      <c r="D285" s="56">
        <v>6070</v>
      </c>
      <c r="E285" s="56">
        <v>13288</v>
      </c>
      <c r="F285" s="56">
        <v>54076</v>
      </c>
      <c r="G285" s="56">
        <v>18283</v>
      </c>
      <c r="H285" s="57">
        <v>91728</v>
      </c>
    </row>
    <row r="286" spans="1:8" s="26" customFormat="1" ht="15" customHeight="1" x14ac:dyDescent="0.3">
      <c r="A286" s="88"/>
      <c r="B286" s="85"/>
      <c r="C286" s="51" t="s">
        <v>19</v>
      </c>
      <c r="D286" s="56">
        <v>7510</v>
      </c>
      <c r="E286" s="56">
        <v>13245</v>
      </c>
      <c r="F286" s="56">
        <v>46354</v>
      </c>
      <c r="G286" s="56">
        <v>17117</v>
      </c>
      <c r="H286" s="57">
        <v>84241</v>
      </c>
    </row>
    <row r="287" spans="1:8" s="26" customFormat="1" ht="15" customHeight="1" x14ac:dyDescent="0.3">
      <c r="A287" s="88"/>
      <c r="B287" s="85"/>
      <c r="C287" s="51" t="s">
        <v>26</v>
      </c>
      <c r="D287" s="56">
        <v>13583</v>
      </c>
      <c r="E287" s="56">
        <v>26537</v>
      </c>
      <c r="F287" s="56">
        <v>100501</v>
      </c>
      <c r="G287" s="56">
        <v>35407</v>
      </c>
      <c r="H287" s="57">
        <v>176095</v>
      </c>
    </row>
    <row r="288" spans="1:8" s="26" customFormat="1" ht="15" customHeight="1" x14ac:dyDescent="0.3">
      <c r="A288" s="88"/>
      <c r="B288" s="85" t="s">
        <v>66</v>
      </c>
      <c r="C288" s="51" t="s">
        <v>18</v>
      </c>
      <c r="D288" s="56">
        <v>7041</v>
      </c>
      <c r="E288" s="56">
        <v>15363</v>
      </c>
      <c r="F288" s="56">
        <v>61683</v>
      </c>
      <c r="G288" s="56">
        <v>21787</v>
      </c>
      <c r="H288" s="57">
        <v>105887</v>
      </c>
    </row>
    <row r="289" spans="1:8" s="26" customFormat="1" ht="15" customHeight="1" x14ac:dyDescent="0.3">
      <c r="A289" s="88"/>
      <c r="B289" s="85"/>
      <c r="C289" s="51" t="s">
        <v>19</v>
      </c>
      <c r="D289" s="56">
        <v>8502</v>
      </c>
      <c r="E289" s="56">
        <v>15344</v>
      </c>
      <c r="F289" s="56">
        <v>53249</v>
      </c>
      <c r="G289" s="56">
        <v>20032</v>
      </c>
      <c r="H289" s="57">
        <v>97151</v>
      </c>
    </row>
    <row r="290" spans="1:8" s="26" customFormat="1" ht="15" customHeight="1" x14ac:dyDescent="0.3">
      <c r="A290" s="88"/>
      <c r="B290" s="85"/>
      <c r="C290" s="51" t="s">
        <v>26</v>
      </c>
      <c r="D290" s="56">
        <v>15543</v>
      </c>
      <c r="E290" s="56">
        <v>30712</v>
      </c>
      <c r="F290" s="56">
        <v>115009</v>
      </c>
      <c r="G290" s="56">
        <v>41827</v>
      </c>
      <c r="H290" s="57">
        <v>203162</v>
      </c>
    </row>
    <row r="291" spans="1:8" s="26" customFormat="1" ht="15" customHeight="1" x14ac:dyDescent="0.3">
      <c r="A291" s="88" t="s">
        <v>119</v>
      </c>
      <c r="B291" s="85" t="s">
        <v>55</v>
      </c>
      <c r="C291" s="51" t="s">
        <v>18</v>
      </c>
      <c r="D291" s="56">
        <v>3911</v>
      </c>
      <c r="E291" s="56">
        <v>9185</v>
      </c>
      <c r="F291" s="56">
        <v>43886</v>
      </c>
      <c r="G291" s="56">
        <v>19998</v>
      </c>
      <c r="H291" s="57">
        <v>76991</v>
      </c>
    </row>
    <row r="292" spans="1:8" s="26" customFormat="1" ht="15" customHeight="1" x14ac:dyDescent="0.3">
      <c r="A292" s="88"/>
      <c r="B292" s="85"/>
      <c r="C292" s="51" t="s">
        <v>19</v>
      </c>
      <c r="D292" s="56">
        <v>4795</v>
      </c>
      <c r="E292" s="56">
        <v>9794</v>
      </c>
      <c r="F292" s="56">
        <v>41711</v>
      </c>
      <c r="G292" s="56">
        <v>18099</v>
      </c>
      <c r="H292" s="57">
        <v>74435</v>
      </c>
    </row>
    <row r="293" spans="1:8" s="26" customFormat="1" ht="15" customHeight="1" x14ac:dyDescent="0.3">
      <c r="A293" s="88"/>
      <c r="B293" s="85"/>
      <c r="C293" s="51" t="s">
        <v>26</v>
      </c>
      <c r="D293" s="56">
        <v>8706</v>
      </c>
      <c r="E293" s="56">
        <v>18981</v>
      </c>
      <c r="F293" s="56">
        <v>85619</v>
      </c>
      <c r="G293" s="56">
        <v>38098</v>
      </c>
      <c r="H293" s="57">
        <v>151451</v>
      </c>
    </row>
    <row r="294" spans="1:8" s="26" customFormat="1" ht="15" customHeight="1" x14ac:dyDescent="0.3">
      <c r="A294" s="88"/>
      <c r="B294" s="85" t="s">
        <v>56</v>
      </c>
      <c r="C294" s="51" t="s">
        <v>18</v>
      </c>
      <c r="D294" s="56">
        <v>4064</v>
      </c>
      <c r="E294" s="56">
        <v>9605</v>
      </c>
      <c r="F294" s="56">
        <v>46153</v>
      </c>
      <c r="G294" s="56">
        <v>21182</v>
      </c>
      <c r="H294" s="57">
        <v>81009</v>
      </c>
    </row>
    <row r="295" spans="1:8" s="26" customFormat="1" ht="15" customHeight="1" x14ac:dyDescent="0.3">
      <c r="A295" s="88"/>
      <c r="B295" s="85"/>
      <c r="C295" s="51" t="s">
        <v>19</v>
      </c>
      <c r="D295" s="56">
        <v>5023</v>
      </c>
      <c r="E295" s="56">
        <v>10368</v>
      </c>
      <c r="F295" s="56">
        <v>43414</v>
      </c>
      <c r="G295" s="56">
        <v>19569</v>
      </c>
      <c r="H295" s="57">
        <v>78411</v>
      </c>
    </row>
    <row r="296" spans="1:8" s="26" customFormat="1" ht="15" customHeight="1" x14ac:dyDescent="0.3">
      <c r="A296" s="88"/>
      <c r="B296" s="85"/>
      <c r="C296" s="51" t="s">
        <v>26</v>
      </c>
      <c r="D296" s="56">
        <v>9089</v>
      </c>
      <c r="E296" s="56">
        <v>19977</v>
      </c>
      <c r="F296" s="56">
        <v>89596</v>
      </c>
      <c r="G296" s="56">
        <v>40751</v>
      </c>
      <c r="H296" s="57">
        <v>159455</v>
      </c>
    </row>
    <row r="297" spans="1:8" s="26" customFormat="1" ht="15" customHeight="1" x14ac:dyDescent="0.3">
      <c r="A297" s="88"/>
      <c r="B297" s="85" t="s">
        <v>57</v>
      </c>
      <c r="C297" s="51" t="s">
        <v>18</v>
      </c>
      <c r="D297" s="56">
        <v>3573</v>
      </c>
      <c r="E297" s="56">
        <v>8640</v>
      </c>
      <c r="F297" s="56">
        <v>43881</v>
      </c>
      <c r="G297" s="56">
        <v>20426</v>
      </c>
      <c r="H297" s="57">
        <v>76538</v>
      </c>
    </row>
    <row r="298" spans="1:8" s="26" customFormat="1" ht="15" customHeight="1" x14ac:dyDescent="0.3">
      <c r="A298" s="88"/>
      <c r="B298" s="85"/>
      <c r="C298" s="51" t="s">
        <v>19</v>
      </c>
      <c r="D298" s="56">
        <v>4590</v>
      </c>
      <c r="E298" s="56">
        <v>9584</v>
      </c>
      <c r="F298" s="56">
        <v>42755</v>
      </c>
      <c r="G298" s="56">
        <v>19146</v>
      </c>
      <c r="H298" s="57">
        <v>76104</v>
      </c>
    </row>
    <row r="299" spans="1:8" s="26" customFormat="1" ht="15" customHeight="1" x14ac:dyDescent="0.3">
      <c r="A299" s="88"/>
      <c r="B299" s="85"/>
      <c r="C299" s="51" t="s">
        <v>26</v>
      </c>
      <c r="D299" s="56">
        <v>8163</v>
      </c>
      <c r="E299" s="56">
        <v>18228</v>
      </c>
      <c r="F299" s="56">
        <v>86665</v>
      </c>
      <c r="G299" s="56">
        <v>39573</v>
      </c>
      <c r="H299" s="57">
        <v>152676</v>
      </c>
    </row>
    <row r="300" spans="1:8" s="26" customFormat="1" ht="15" customHeight="1" x14ac:dyDescent="0.3">
      <c r="A300" s="88"/>
      <c r="B300" s="85" t="s">
        <v>58</v>
      </c>
      <c r="C300" s="51" t="s">
        <v>18</v>
      </c>
      <c r="D300" s="56">
        <v>3548</v>
      </c>
      <c r="E300" s="56">
        <v>7473</v>
      </c>
      <c r="F300" s="56">
        <v>46026</v>
      </c>
      <c r="G300" s="56">
        <v>21075</v>
      </c>
      <c r="H300" s="57">
        <v>78134</v>
      </c>
    </row>
    <row r="301" spans="1:8" s="26" customFormat="1" ht="15" customHeight="1" x14ac:dyDescent="0.3">
      <c r="A301" s="88"/>
      <c r="B301" s="85"/>
      <c r="C301" s="51" t="s">
        <v>19</v>
      </c>
      <c r="D301" s="56">
        <v>4490</v>
      </c>
      <c r="E301" s="56">
        <v>8081</v>
      </c>
      <c r="F301" s="56">
        <v>44959</v>
      </c>
      <c r="G301" s="56">
        <v>19668</v>
      </c>
      <c r="H301" s="57">
        <v>77239</v>
      </c>
    </row>
    <row r="302" spans="1:8" s="26" customFormat="1" ht="15" customHeight="1" x14ac:dyDescent="0.3">
      <c r="A302" s="88"/>
      <c r="B302" s="85"/>
      <c r="C302" s="51" t="s">
        <v>26</v>
      </c>
      <c r="D302" s="56">
        <v>8038</v>
      </c>
      <c r="E302" s="56">
        <v>15563</v>
      </c>
      <c r="F302" s="56">
        <v>91021</v>
      </c>
      <c r="G302" s="56">
        <v>40745</v>
      </c>
      <c r="H302" s="57">
        <v>155422</v>
      </c>
    </row>
    <row r="303" spans="1:8" s="26" customFormat="1" ht="15" customHeight="1" x14ac:dyDescent="0.3">
      <c r="A303" s="88"/>
      <c r="B303" s="85" t="s">
        <v>59</v>
      </c>
      <c r="C303" s="51" t="s">
        <v>18</v>
      </c>
      <c r="D303" s="56">
        <v>3226</v>
      </c>
      <c r="E303" s="56">
        <v>7173</v>
      </c>
      <c r="F303" s="56">
        <v>45052</v>
      </c>
      <c r="G303" s="56">
        <v>21017</v>
      </c>
      <c r="H303" s="57">
        <v>76482</v>
      </c>
    </row>
    <row r="304" spans="1:8" s="26" customFormat="1" ht="15" customHeight="1" x14ac:dyDescent="0.3">
      <c r="A304" s="88"/>
      <c r="B304" s="85"/>
      <c r="C304" s="51" t="s">
        <v>19</v>
      </c>
      <c r="D304" s="56">
        <v>4214</v>
      </c>
      <c r="E304" s="56">
        <v>7349</v>
      </c>
      <c r="F304" s="56">
        <v>43142</v>
      </c>
      <c r="G304" s="56">
        <v>19400</v>
      </c>
      <c r="H304" s="57">
        <v>74135</v>
      </c>
    </row>
    <row r="305" spans="1:8" s="26" customFormat="1" ht="15" customHeight="1" x14ac:dyDescent="0.3">
      <c r="A305" s="88"/>
      <c r="B305" s="85"/>
      <c r="C305" s="51" t="s">
        <v>26</v>
      </c>
      <c r="D305" s="56">
        <v>7440</v>
      </c>
      <c r="E305" s="56">
        <v>14534</v>
      </c>
      <c r="F305" s="56">
        <v>88226</v>
      </c>
      <c r="G305" s="56">
        <v>40417</v>
      </c>
      <c r="H305" s="57">
        <v>150661</v>
      </c>
    </row>
    <row r="306" spans="1:8" s="26" customFormat="1" ht="15" customHeight="1" x14ac:dyDescent="0.3">
      <c r="A306" s="88"/>
      <c r="B306" s="85" t="s">
        <v>60</v>
      </c>
      <c r="C306" s="51" t="s">
        <v>18</v>
      </c>
      <c r="D306" s="56">
        <v>3298</v>
      </c>
      <c r="E306" s="56">
        <v>8173</v>
      </c>
      <c r="F306" s="56">
        <v>42656</v>
      </c>
      <c r="G306" s="56">
        <v>19703</v>
      </c>
      <c r="H306" s="57">
        <v>73842</v>
      </c>
    </row>
    <row r="307" spans="1:8" s="26" customFormat="1" ht="15" customHeight="1" x14ac:dyDescent="0.3">
      <c r="A307" s="88"/>
      <c r="B307" s="85"/>
      <c r="C307" s="51" t="s">
        <v>19</v>
      </c>
      <c r="D307" s="56">
        <v>4129</v>
      </c>
      <c r="E307" s="56">
        <v>8832</v>
      </c>
      <c r="F307" s="56">
        <v>40992</v>
      </c>
      <c r="G307" s="56">
        <v>18230</v>
      </c>
      <c r="H307" s="57">
        <v>72220</v>
      </c>
    </row>
    <row r="308" spans="1:8" s="26" customFormat="1" ht="15" customHeight="1" x14ac:dyDescent="0.3">
      <c r="A308" s="88"/>
      <c r="B308" s="85"/>
      <c r="C308" s="51" t="s">
        <v>26</v>
      </c>
      <c r="D308" s="56">
        <v>7428</v>
      </c>
      <c r="E308" s="56">
        <v>17014</v>
      </c>
      <c r="F308" s="56">
        <v>83683</v>
      </c>
      <c r="G308" s="56">
        <v>37934</v>
      </c>
      <c r="H308" s="57">
        <v>146109</v>
      </c>
    </row>
    <row r="309" spans="1:8" s="26" customFormat="1" ht="15" customHeight="1" x14ac:dyDescent="0.3">
      <c r="A309" s="88"/>
      <c r="B309" s="85" t="s">
        <v>61</v>
      </c>
      <c r="C309" s="51" t="s">
        <v>18</v>
      </c>
      <c r="D309" s="56">
        <v>3508</v>
      </c>
      <c r="E309" s="56">
        <v>8804</v>
      </c>
      <c r="F309" s="56">
        <v>43339</v>
      </c>
      <c r="G309" s="56">
        <v>19867</v>
      </c>
      <c r="H309" s="57">
        <v>75526</v>
      </c>
    </row>
    <row r="310" spans="1:8" s="26" customFormat="1" ht="15" customHeight="1" x14ac:dyDescent="0.3">
      <c r="A310" s="88"/>
      <c r="B310" s="85"/>
      <c r="C310" s="51" t="s">
        <v>19</v>
      </c>
      <c r="D310" s="56">
        <v>4445</v>
      </c>
      <c r="E310" s="56">
        <v>9473</v>
      </c>
      <c r="F310" s="56">
        <v>41211</v>
      </c>
      <c r="G310" s="56">
        <v>18411</v>
      </c>
      <c r="H310" s="57">
        <v>73569</v>
      </c>
    </row>
    <row r="311" spans="1:8" s="26" customFormat="1" ht="15" customHeight="1" x14ac:dyDescent="0.3">
      <c r="A311" s="88"/>
      <c r="B311" s="85"/>
      <c r="C311" s="51" t="s">
        <v>26</v>
      </c>
      <c r="D311" s="56">
        <v>7954</v>
      </c>
      <c r="E311" s="56">
        <v>18288</v>
      </c>
      <c r="F311" s="56">
        <v>84582</v>
      </c>
      <c r="G311" s="56">
        <v>38279</v>
      </c>
      <c r="H311" s="57">
        <v>149141</v>
      </c>
    </row>
    <row r="312" spans="1:8" s="26" customFormat="1" ht="15" customHeight="1" x14ac:dyDescent="0.3">
      <c r="A312" s="88"/>
      <c r="B312" s="85" t="s">
        <v>62</v>
      </c>
      <c r="C312" s="51" t="s">
        <v>18</v>
      </c>
      <c r="D312" s="56">
        <v>4110</v>
      </c>
      <c r="E312" s="56">
        <v>9175</v>
      </c>
      <c r="F312" s="56">
        <v>43022</v>
      </c>
      <c r="G312" s="56">
        <v>19094</v>
      </c>
      <c r="H312" s="57">
        <v>75406</v>
      </c>
    </row>
    <row r="313" spans="1:8" s="26" customFormat="1" ht="15" customHeight="1" x14ac:dyDescent="0.3">
      <c r="A313" s="88"/>
      <c r="B313" s="85"/>
      <c r="C313" s="51" t="s">
        <v>19</v>
      </c>
      <c r="D313" s="56">
        <v>5114</v>
      </c>
      <c r="E313" s="56">
        <v>9833</v>
      </c>
      <c r="F313" s="56">
        <v>40059</v>
      </c>
      <c r="G313" s="56">
        <v>17683</v>
      </c>
      <c r="H313" s="57">
        <v>72712</v>
      </c>
    </row>
    <row r="314" spans="1:8" s="26" customFormat="1" ht="15" customHeight="1" x14ac:dyDescent="0.3">
      <c r="A314" s="88"/>
      <c r="B314" s="85"/>
      <c r="C314" s="51" t="s">
        <v>26</v>
      </c>
      <c r="D314" s="56">
        <v>9224</v>
      </c>
      <c r="E314" s="56">
        <v>19027</v>
      </c>
      <c r="F314" s="56">
        <v>83121</v>
      </c>
      <c r="G314" s="56">
        <v>36777</v>
      </c>
      <c r="H314" s="57">
        <v>148177</v>
      </c>
    </row>
    <row r="315" spans="1:8" s="26" customFormat="1" ht="15" customHeight="1" x14ac:dyDescent="0.3">
      <c r="A315" s="88"/>
      <c r="B315" s="85" t="s">
        <v>63</v>
      </c>
      <c r="C315" s="51" t="s">
        <v>18</v>
      </c>
      <c r="D315" s="56">
        <v>5696</v>
      </c>
      <c r="E315" s="56">
        <v>9644</v>
      </c>
      <c r="F315" s="56">
        <v>44995</v>
      </c>
      <c r="G315" s="56">
        <v>20762</v>
      </c>
      <c r="H315" s="57">
        <v>81112</v>
      </c>
    </row>
    <row r="316" spans="1:8" s="26" customFormat="1" ht="15" customHeight="1" x14ac:dyDescent="0.3">
      <c r="A316" s="88"/>
      <c r="B316" s="85"/>
      <c r="C316" s="51" t="s">
        <v>19</v>
      </c>
      <c r="D316" s="56">
        <v>6831</v>
      </c>
      <c r="E316" s="56">
        <v>10053</v>
      </c>
      <c r="F316" s="56">
        <v>41804</v>
      </c>
      <c r="G316" s="56">
        <v>19083</v>
      </c>
      <c r="H316" s="57">
        <v>77817</v>
      </c>
    </row>
    <row r="317" spans="1:8" s="26" customFormat="1" ht="15" customHeight="1" x14ac:dyDescent="0.3">
      <c r="A317" s="88"/>
      <c r="B317" s="85"/>
      <c r="C317" s="51" t="s">
        <v>26</v>
      </c>
      <c r="D317" s="56">
        <v>12527</v>
      </c>
      <c r="E317" s="56">
        <v>19700</v>
      </c>
      <c r="F317" s="56">
        <v>86825</v>
      </c>
      <c r="G317" s="56">
        <v>39845</v>
      </c>
      <c r="H317" s="57">
        <v>158959</v>
      </c>
    </row>
    <row r="318" spans="1:8" s="26" customFormat="1" ht="15" customHeight="1" x14ac:dyDescent="0.3">
      <c r="A318" s="88"/>
      <c r="B318" s="85" t="s">
        <v>64</v>
      </c>
      <c r="C318" s="51" t="s">
        <v>18</v>
      </c>
      <c r="D318" s="56">
        <v>4775</v>
      </c>
      <c r="E318" s="56">
        <v>9870</v>
      </c>
      <c r="F318" s="56">
        <v>46199</v>
      </c>
      <c r="G318" s="56">
        <v>20505</v>
      </c>
      <c r="H318" s="57">
        <v>81355</v>
      </c>
    </row>
    <row r="319" spans="1:8" s="26" customFormat="1" ht="15" customHeight="1" x14ac:dyDescent="0.3">
      <c r="A319" s="88"/>
      <c r="B319" s="85"/>
      <c r="C319" s="51" t="s">
        <v>19</v>
      </c>
      <c r="D319" s="56">
        <v>5874</v>
      </c>
      <c r="E319" s="56">
        <v>10315</v>
      </c>
      <c r="F319" s="56">
        <v>42764</v>
      </c>
      <c r="G319" s="56">
        <v>18876</v>
      </c>
      <c r="H319" s="57">
        <v>77860</v>
      </c>
    </row>
    <row r="320" spans="1:8" s="26" customFormat="1" ht="15" customHeight="1" x14ac:dyDescent="0.3">
      <c r="A320" s="88"/>
      <c r="B320" s="85"/>
      <c r="C320" s="51" t="s">
        <v>26</v>
      </c>
      <c r="D320" s="56">
        <v>10649</v>
      </c>
      <c r="E320" s="56">
        <v>20194</v>
      </c>
      <c r="F320" s="56">
        <v>88995</v>
      </c>
      <c r="G320" s="56">
        <v>39381</v>
      </c>
      <c r="H320" s="57">
        <v>159256</v>
      </c>
    </row>
    <row r="321" spans="1:8" s="26" customFormat="1" ht="15" customHeight="1" x14ac:dyDescent="0.3">
      <c r="A321" s="88"/>
      <c r="B321" s="85" t="s">
        <v>65</v>
      </c>
      <c r="C321" s="51" t="s">
        <v>18</v>
      </c>
      <c r="D321" s="56">
        <v>4750</v>
      </c>
      <c r="E321" s="56">
        <v>9643</v>
      </c>
      <c r="F321" s="56">
        <v>42624</v>
      </c>
      <c r="G321" s="56">
        <v>19040</v>
      </c>
      <c r="H321" s="57">
        <v>76065</v>
      </c>
    </row>
    <row r="322" spans="1:8" s="26" customFormat="1" ht="15" customHeight="1" x14ac:dyDescent="0.3">
      <c r="A322" s="88"/>
      <c r="B322" s="85"/>
      <c r="C322" s="51" t="s">
        <v>19</v>
      </c>
      <c r="D322" s="56">
        <v>5808</v>
      </c>
      <c r="E322" s="56">
        <v>10251</v>
      </c>
      <c r="F322" s="56">
        <v>38497</v>
      </c>
      <c r="G322" s="56">
        <v>17927</v>
      </c>
      <c r="H322" s="57">
        <v>72510</v>
      </c>
    </row>
    <row r="323" spans="1:8" s="26" customFormat="1" ht="15" customHeight="1" x14ac:dyDescent="0.3">
      <c r="A323" s="88"/>
      <c r="B323" s="85"/>
      <c r="C323" s="51" t="s">
        <v>26</v>
      </c>
      <c r="D323" s="56">
        <v>10558</v>
      </c>
      <c r="E323" s="56">
        <v>19901</v>
      </c>
      <c r="F323" s="56">
        <v>81149</v>
      </c>
      <c r="G323" s="56">
        <v>36967</v>
      </c>
      <c r="H323" s="57">
        <v>148610</v>
      </c>
    </row>
    <row r="324" spans="1:8" s="26" customFormat="1" ht="15" customHeight="1" x14ac:dyDescent="0.3">
      <c r="A324" s="88"/>
      <c r="B324" s="85" t="s">
        <v>66</v>
      </c>
      <c r="C324" s="51" t="s">
        <v>18</v>
      </c>
      <c r="D324" s="56">
        <v>4339</v>
      </c>
      <c r="E324" s="56">
        <v>8778</v>
      </c>
      <c r="F324" s="56">
        <v>45614</v>
      </c>
      <c r="G324" s="56">
        <v>21025</v>
      </c>
      <c r="H324" s="57">
        <v>79763</v>
      </c>
    </row>
    <row r="325" spans="1:8" s="26" customFormat="1" ht="15" customHeight="1" x14ac:dyDescent="0.3">
      <c r="A325" s="88"/>
      <c r="B325" s="85"/>
      <c r="C325" s="51" t="s">
        <v>19</v>
      </c>
      <c r="D325" s="56">
        <v>5273</v>
      </c>
      <c r="E325" s="56">
        <v>9028</v>
      </c>
      <c r="F325" s="56">
        <v>41776</v>
      </c>
      <c r="G325" s="56">
        <v>19132</v>
      </c>
      <c r="H325" s="57">
        <v>75226</v>
      </c>
    </row>
    <row r="326" spans="1:8" s="26" customFormat="1" ht="15" customHeight="1" x14ac:dyDescent="0.3">
      <c r="A326" s="88"/>
      <c r="B326" s="85"/>
      <c r="C326" s="51" t="s">
        <v>26</v>
      </c>
      <c r="D326" s="56">
        <v>9612</v>
      </c>
      <c r="E326" s="56">
        <v>17825</v>
      </c>
      <c r="F326" s="56">
        <v>87407</v>
      </c>
      <c r="G326" s="56">
        <v>40158</v>
      </c>
      <c r="H326" s="57">
        <v>155026</v>
      </c>
    </row>
    <row r="327" spans="1:8" s="26" customFormat="1" ht="15" customHeight="1" x14ac:dyDescent="0.3">
      <c r="A327" s="88" t="s">
        <v>2</v>
      </c>
      <c r="B327" s="85" t="s">
        <v>55</v>
      </c>
      <c r="C327" s="51" t="s">
        <v>18</v>
      </c>
      <c r="D327" s="56">
        <v>109</v>
      </c>
      <c r="E327" s="56">
        <v>224</v>
      </c>
      <c r="F327" s="56">
        <v>1057</v>
      </c>
      <c r="G327" s="56">
        <v>303</v>
      </c>
      <c r="H327" s="57">
        <v>1693</v>
      </c>
    </row>
    <row r="328" spans="1:8" s="26" customFormat="1" ht="15" customHeight="1" x14ac:dyDescent="0.3">
      <c r="A328" s="88"/>
      <c r="B328" s="85"/>
      <c r="C328" s="51" t="s">
        <v>19</v>
      </c>
      <c r="D328" s="56">
        <v>112</v>
      </c>
      <c r="E328" s="56">
        <v>194</v>
      </c>
      <c r="F328" s="56">
        <v>1132</v>
      </c>
      <c r="G328" s="56">
        <v>361</v>
      </c>
      <c r="H328" s="57">
        <v>1799</v>
      </c>
    </row>
    <row r="329" spans="1:8" s="26" customFormat="1" ht="15" customHeight="1" x14ac:dyDescent="0.3">
      <c r="A329" s="88"/>
      <c r="B329" s="85"/>
      <c r="C329" s="51" t="s">
        <v>26</v>
      </c>
      <c r="D329" s="56">
        <v>221</v>
      </c>
      <c r="E329" s="56">
        <v>418</v>
      </c>
      <c r="F329" s="56">
        <v>2189</v>
      </c>
      <c r="G329" s="56">
        <v>664</v>
      </c>
      <c r="H329" s="57">
        <v>3492</v>
      </c>
    </row>
    <row r="330" spans="1:8" s="26" customFormat="1" ht="15" customHeight="1" x14ac:dyDescent="0.3">
      <c r="A330" s="88"/>
      <c r="B330" s="85" t="s">
        <v>56</v>
      </c>
      <c r="C330" s="51" t="s">
        <v>18</v>
      </c>
      <c r="D330" s="56">
        <v>99</v>
      </c>
      <c r="E330" s="56">
        <v>226</v>
      </c>
      <c r="F330" s="56">
        <v>1098</v>
      </c>
      <c r="G330" s="56">
        <v>274</v>
      </c>
      <c r="H330" s="57">
        <v>1697</v>
      </c>
    </row>
    <row r="331" spans="1:8" s="26" customFormat="1" ht="15" customHeight="1" x14ac:dyDescent="0.3">
      <c r="A331" s="88"/>
      <c r="B331" s="85"/>
      <c r="C331" s="51" t="s">
        <v>19</v>
      </c>
      <c r="D331" s="56">
        <v>100</v>
      </c>
      <c r="E331" s="56">
        <v>220</v>
      </c>
      <c r="F331" s="56">
        <v>1142</v>
      </c>
      <c r="G331" s="56">
        <v>335</v>
      </c>
      <c r="H331" s="57">
        <v>1797</v>
      </c>
    </row>
    <row r="332" spans="1:8" s="26" customFormat="1" ht="15" customHeight="1" x14ac:dyDescent="0.3">
      <c r="A332" s="88"/>
      <c r="B332" s="85"/>
      <c r="C332" s="51" t="s">
        <v>26</v>
      </c>
      <c r="D332" s="56">
        <v>199</v>
      </c>
      <c r="E332" s="56">
        <v>446</v>
      </c>
      <c r="F332" s="56">
        <v>2240</v>
      </c>
      <c r="G332" s="56">
        <v>609</v>
      </c>
      <c r="H332" s="57">
        <v>3494</v>
      </c>
    </row>
    <row r="333" spans="1:8" s="26" customFormat="1" ht="15" customHeight="1" x14ac:dyDescent="0.3">
      <c r="A333" s="88"/>
      <c r="B333" s="85" t="s">
        <v>57</v>
      </c>
      <c r="C333" s="51" t="s">
        <v>18</v>
      </c>
      <c r="D333" s="56">
        <v>68</v>
      </c>
      <c r="E333" s="56">
        <v>181</v>
      </c>
      <c r="F333" s="56">
        <v>1163</v>
      </c>
      <c r="G333" s="56">
        <v>282</v>
      </c>
      <c r="H333" s="57">
        <v>1694</v>
      </c>
    </row>
    <row r="334" spans="1:8" s="26" customFormat="1" ht="15" customHeight="1" x14ac:dyDescent="0.3">
      <c r="A334" s="88"/>
      <c r="B334" s="85"/>
      <c r="C334" s="51" t="s">
        <v>19</v>
      </c>
      <c r="D334" s="56">
        <v>98</v>
      </c>
      <c r="E334" s="56">
        <v>161</v>
      </c>
      <c r="F334" s="56">
        <v>1110</v>
      </c>
      <c r="G334" s="56">
        <v>337</v>
      </c>
      <c r="H334" s="57">
        <v>1706</v>
      </c>
    </row>
    <row r="335" spans="1:8" s="26" customFormat="1" ht="15" customHeight="1" x14ac:dyDescent="0.3">
      <c r="A335" s="88"/>
      <c r="B335" s="85"/>
      <c r="C335" s="51" t="s">
        <v>26</v>
      </c>
      <c r="D335" s="56">
        <v>166</v>
      </c>
      <c r="E335" s="56">
        <v>342</v>
      </c>
      <c r="F335" s="56">
        <v>2273</v>
      </c>
      <c r="G335" s="56">
        <v>619</v>
      </c>
      <c r="H335" s="57">
        <v>3400</v>
      </c>
    </row>
    <row r="336" spans="1:8" s="26" customFormat="1" ht="15" customHeight="1" x14ac:dyDescent="0.3">
      <c r="A336" s="88"/>
      <c r="B336" s="85" t="s">
        <v>58</v>
      </c>
      <c r="C336" s="51" t="s">
        <v>18</v>
      </c>
      <c r="D336" s="56">
        <v>72</v>
      </c>
      <c r="E336" s="56">
        <v>171</v>
      </c>
      <c r="F336" s="56">
        <v>1121</v>
      </c>
      <c r="G336" s="56">
        <v>323</v>
      </c>
      <c r="H336" s="57">
        <v>1687</v>
      </c>
    </row>
    <row r="337" spans="1:8" s="26" customFormat="1" ht="15" customHeight="1" x14ac:dyDescent="0.3">
      <c r="A337" s="88"/>
      <c r="B337" s="85"/>
      <c r="C337" s="51" t="s">
        <v>19</v>
      </c>
      <c r="D337" s="56">
        <v>101</v>
      </c>
      <c r="E337" s="56">
        <v>184</v>
      </c>
      <c r="F337" s="56">
        <v>1181</v>
      </c>
      <c r="G337" s="56">
        <v>373</v>
      </c>
      <c r="H337" s="57">
        <v>1839</v>
      </c>
    </row>
    <row r="338" spans="1:8" s="26" customFormat="1" ht="15" customHeight="1" x14ac:dyDescent="0.3">
      <c r="A338" s="88"/>
      <c r="B338" s="85"/>
      <c r="C338" s="51" t="s">
        <v>26</v>
      </c>
      <c r="D338" s="56">
        <v>173</v>
      </c>
      <c r="E338" s="56">
        <v>355</v>
      </c>
      <c r="F338" s="56">
        <v>2302</v>
      </c>
      <c r="G338" s="56">
        <v>696</v>
      </c>
      <c r="H338" s="57">
        <v>3526</v>
      </c>
    </row>
    <row r="339" spans="1:8" s="26" customFormat="1" ht="15" customHeight="1" x14ac:dyDescent="0.3">
      <c r="A339" s="88"/>
      <c r="B339" s="85" t="s">
        <v>59</v>
      </c>
      <c r="C339" s="51" t="s">
        <v>18</v>
      </c>
      <c r="D339" s="56">
        <v>61</v>
      </c>
      <c r="E339" s="56">
        <v>195</v>
      </c>
      <c r="F339" s="56">
        <v>1126</v>
      </c>
      <c r="G339" s="56">
        <v>281</v>
      </c>
      <c r="H339" s="57">
        <v>1663</v>
      </c>
    </row>
    <row r="340" spans="1:8" s="26" customFormat="1" ht="15" customHeight="1" x14ac:dyDescent="0.3">
      <c r="A340" s="88"/>
      <c r="B340" s="85"/>
      <c r="C340" s="51" t="s">
        <v>19</v>
      </c>
      <c r="D340" s="56">
        <v>86</v>
      </c>
      <c r="E340" s="56">
        <v>195</v>
      </c>
      <c r="F340" s="56">
        <v>1203</v>
      </c>
      <c r="G340" s="56">
        <v>390</v>
      </c>
      <c r="H340" s="57">
        <v>1874</v>
      </c>
    </row>
    <row r="341" spans="1:8" s="26" customFormat="1" ht="15" customHeight="1" x14ac:dyDescent="0.3">
      <c r="A341" s="88"/>
      <c r="B341" s="85"/>
      <c r="C341" s="51" t="s">
        <v>26</v>
      </c>
      <c r="D341" s="56">
        <v>147</v>
      </c>
      <c r="E341" s="56">
        <v>390</v>
      </c>
      <c r="F341" s="56">
        <v>2329</v>
      </c>
      <c r="G341" s="56">
        <v>671</v>
      </c>
      <c r="H341" s="57">
        <v>3537</v>
      </c>
    </row>
    <row r="342" spans="1:8" s="26" customFormat="1" ht="15" customHeight="1" x14ac:dyDescent="0.3">
      <c r="A342" s="88"/>
      <c r="B342" s="85" t="s">
        <v>60</v>
      </c>
      <c r="C342" s="51" t="s">
        <v>18</v>
      </c>
      <c r="D342" s="56">
        <v>77</v>
      </c>
      <c r="E342" s="56">
        <v>185</v>
      </c>
      <c r="F342" s="56">
        <v>1044</v>
      </c>
      <c r="G342" s="56">
        <v>285</v>
      </c>
      <c r="H342" s="57">
        <v>1591</v>
      </c>
    </row>
    <row r="343" spans="1:8" s="26" customFormat="1" ht="15" customHeight="1" x14ac:dyDescent="0.3">
      <c r="A343" s="88"/>
      <c r="B343" s="85"/>
      <c r="C343" s="51" t="s">
        <v>19</v>
      </c>
      <c r="D343" s="56">
        <v>65</v>
      </c>
      <c r="E343" s="56">
        <v>163</v>
      </c>
      <c r="F343" s="56">
        <v>1139</v>
      </c>
      <c r="G343" s="56">
        <v>371</v>
      </c>
      <c r="H343" s="57">
        <v>1738</v>
      </c>
    </row>
    <row r="344" spans="1:8" s="26" customFormat="1" ht="15" customHeight="1" x14ac:dyDescent="0.3">
      <c r="A344" s="88"/>
      <c r="B344" s="85"/>
      <c r="C344" s="51" t="s">
        <v>26</v>
      </c>
      <c r="D344" s="56">
        <v>142</v>
      </c>
      <c r="E344" s="56">
        <v>348</v>
      </c>
      <c r="F344" s="56">
        <v>2183</v>
      </c>
      <c r="G344" s="56">
        <v>656</v>
      </c>
      <c r="H344" s="57">
        <v>3329</v>
      </c>
    </row>
    <row r="345" spans="1:8" s="26" customFormat="1" ht="15" customHeight="1" x14ac:dyDescent="0.3">
      <c r="A345" s="88"/>
      <c r="B345" s="85" t="s">
        <v>61</v>
      </c>
      <c r="C345" s="51" t="s">
        <v>18</v>
      </c>
      <c r="D345" s="56">
        <v>67</v>
      </c>
      <c r="E345" s="56">
        <v>175</v>
      </c>
      <c r="F345" s="56">
        <v>1108</v>
      </c>
      <c r="G345" s="56">
        <v>248</v>
      </c>
      <c r="H345" s="57">
        <v>1598</v>
      </c>
    </row>
    <row r="346" spans="1:8" s="26" customFormat="1" ht="15" customHeight="1" x14ac:dyDescent="0.3">
      <c r="A346" s="88"/>
      <c r="B346" s="85"/>
      <c r="C346" s="51" t="s">
        <v>19</v>
      </c>
      <c r="D346" s="56">
        <v>71</v>
      </c>
      <c r="E346" s="56">
        <v>175</v>
      </c>
      <c r="F346" s="56">
        <v>948</v>
      </c>
      <c r="G346" s="56">
        <v>347</v>
      </c>
      <c r="H346" s="57">
        <v>1541</v>
      </c>
    </row>
    <row r="347" spans="1:8" s="26" customFormat="1" ht="15" customHeight="1" x14ac:dyDescent="0.3">
      <c r="A347" s="88"/>
      <c r="B347" s="85"/>
      <c r="C347" s="51" t="s">
        <v>26</v>
      </c>
      <c r="D347" s="56">
        <v>138</v>
      </c>
      <c r="E347" s="56">
        <v>350</v>
      </c>
      <c r="F347" s="56">
        <v>2056</v>
      </c>
      <c r="G347" s="56">
        <v>595</v>
      </c>
      <c r="H347" s="57">
        <v>3139</v>
      </c>
    </row>
    <row r="348" spans="1:8" s="26" customFormat="1" ht="15" customHeight="1" x14ac:dyDescent="0.3">
      <c r="A348" s="88"/>
      <c r="B348" s="85" t="s">
        <v>62</v>
      </c>
      <c r="C348" s="51" t="s">
        <v>18</v>
      </c>
      <c r="D348" s="56">
        <v>93</v>
      </c>
      <c r="E348" s="56">
        <v>173</v>
      </c>
      <c r="F348" s="56">
        <v>1031</v>
      </c>
      <c r="G348" s="56">
        <v>261</v>
      </c>
      <c r="H348" s="57">
        <v>1558</v>
      </c>
    </row>
    <row r="349" spans="1:8" s="26" customFormat="1" ht="15" customHeight="1" x14ac:dyDescent="0.3">
      <c r="A349" s="88"/>
      <c r="B349" s="85"/>
      <c r="C349" s="51" t="s">
        <v>19</v>
      </c>
      <c r="D349" s="56">
        <v>78</v>
      </c>
      <c r="E349" s="56">
        <v>167</v>
      </c>
      <c r="F349" s="56">
        <v>859</v>
      </c>
      <c r="G349" s="56">
        <v>314</v>
      </c>
      <c r="H349" s="57">
        <v>1418</v>
      </c>
    </row>
    <row r="350" spans="1:8" s="26" customFormat="1" ht="15" customHeight="1" x14ac:dyDescent="0.3">
      <c r="A350" s="88"/>
      <c r="B350" s="85"/>
      <c r="C350" s="51" t="s">
        <v>26</v>
      </c>
      <c r="D350" s="56">
        <v>171</v>
      </c>
      <c r="E350" s="56">
        <v>340</v>
      </c>
      <c r="F350" s="56">
        <v>1890</v>
      </c>
      <c r="G350" s="56">
        <v>575</v>
      </c>
      <c r="H350" s="57">
        <v>2976</v>
      </c>
    </row>
    <row r="351" spans="1:8" s="26" customFormat="1" ht="15" customHeight="1" x14ac:dyDescent="0.3">
      <c r="A351" s="88"/>
      <c r="B351" s="85" t="s">
        <v>63</v>
      </c>
      <c r="C351" s="51" t="s">
        <v>18</v>
      </c>
      <c r="D351" s="56">
        <v>121</v>
      </c>
      <c r="E351" s="56">
        <v>171</v>
      </c>
      <c r="F351" s="56">
        <v>1033</v>
      </c>
      <c r="G351" s="56">
        <v>285</v>
      </c>
      <c r="H351" s="57">
        <v>1610</v>
      </c>
    </row>
    <row r="352" spans="1:8" s="26" customFormat="1" ht="15" customHeight="1" x14ac:dyDescent="0.3">
      <c r="A352" s="88"/>
      <c r="B352" s="85"/>
      <c r="C352" s="51" t="s">
        <v>19</v>
      </c>
      <c r="D352" s="56">
        <v>104</v>
      </c>
      <c r="E352" s="56">
        <v>175</v>
      </c>
      <c r="F352" s="56">
        <v>984</v>
      </c>
      <c r="G352" s="56">
        <v>336</v>
      </c>
      <c r="H352" s="57">
        <v>1599</v>
      </c>
    </row>
    <row r="353" spans="1:8" s="26" customFormat="1" ht="15" customHeight="1" x14ac:dyDescent="0.3">
      <c r="A353" s="88"/>
      <c r="B353" s="85"/>
      <c r="C353" s="51" t="s">
        <v>26</v>
      </c>
      <c r="D353" s="56">
        <v>225</v>
      </c>
      <c r="E353" s="56">
        <v>346</v>
      </c>
      <c r="F353" s="56">
        <v>2017</v>
      </c>
      <c r="G353" s="56">
        <v>621</v>
      </c>
      <c r="H353" s="57">
        <v>3209</v>
      </c>
    </row>
    <row r="354" spans="1:8" s="26" customFormat="1" ht="15" customHeight="1" x14ac:dyDescent="0.3">
      <c r="A354" s="88"/>
      <c r="B354" s="85" t="s">
        <v>64</v>
      </c>
      <c r="C354" s="51" t="s">
        <v>18</v>
      </c>
      <c r="D354" s="56">
        <v>128</v>
      </c>
      <c r="E354" s="56">
        <v>184</v>
      </c>
      <c r="F354" s="56">
        <v>1126</v>
      </c>
      <c r="G354" s="56">
        <v>301</v>
      </c>
      <c r="H354" s="57">
        <v>1739</v>
      </c>
    </row>
    <row r="355" spans="1:8" s="26" customFormat="1" ht="15" customHeight="1" x14ac:dyDescent="0.3">
      <c r="A355" s="88"/>
      <c r="B355" s="85"/>
      <c r="C355" s="51" t="s">
        <v>19</v>
      </c>
      <c r="D355" s="56">
        <v>103</v>
      </c>
      <c r="E355" s="56">
        <v>196</v>
      </c>
      <c r="F355" s="56">
        <v>987</v>
      </c>
      <c r="G355" s="56">
        <v>353</v>
      </c>
      <c r="H355" s="57">
        <v>1639</v>
      </c>
    </row>
    <row r="356" spans="1:8" s="26" customFormat="1" ht="15" customHeight="1" x14ac:dyDescent="0.3">
      <c r="A356" s="88"/>
      <c r="B356" s="85"/>
      <c r="C356" s="51" t="s">
        <v>26</v>
      </c>
      <c r="D356" s="56">
        <v>231</v>
      </c>
      <c r="E356" s="56">
        <v>380</v>
      </c>
      <c r="F356" s="56">
        <v>2113</v>
      </c>
      <c r="G356" s="56">
        <v>654</v>
      </c>
      <c r="H356" s="57">
        <v>3378</v>
      </c>
    </row>
    <row r="357" spans="1:8" s="26" customFormat="1" ht="15" customHeight="1" x14ac:dyDescent="0.3">
      <c r="A357" s="88"/>
      <c r="B357" s="85" t="s">
        <v>65</v>
      </c>
      <c r="C357" s="51" t="s">
        <v>18</v>
      </c>
      <c r="D357" s="56">
        <v>124</v>
      </c>
      <c r="E357" s="56">
        <v>217</v>
      </c>
      <c r="F357" s="56">
        <v>1098</v>
      </c>
      <c r="G357" s="56">
        <v>284</v>
      </c>
      <c r="H357" s="57">
        <v>1723</v>
      </c>
    </row>
    <row r="358" spans="1:8" s="26" customFormat="1" ht="15" customHeight="1" x14ac:dyDescent="0.3">
      <c r="A358" s="88"/>
      <c r="B358" s="85"/>
      <c r="C358" s="51" t="s">
        <v>19</v>
      </c>
      <c r="D358" s="56">
        <v>148</v>
      </c>
      <c r="E358" s="56">
        <v>226</v>
      </c>
      <c r="F358" s="56">
        <v>947</v>
      </c>
      <c r="G358" s="56">
        <v>303</v>
      </c>
      <c r="H358" s="57">
        <v>1624</v>
      </c>
    </row>
    <row r="359" spans="1:8" s="26" customFormat="1" ht="15" customHeight="1" x14ac:dyDescent="0.3">
      <c r="A359" s="88"/>
      <c r="B359" s="85"/>
      <c r="C359" s="51" t="s">
        <v>26</v>
      </c>
      <c r="D359" s="56">
        <v>272</v>
      </c>
      <c r="E359" s="56">
        <v>443</v>
      </c>
      <c r="F359" s="56">
        <v>2045</v>
      </c>
      <c r="G359" s="56">
        <v>587</v>
      </c>
      <c r="H359" s="57">
        <v>3347</v>
      </c>
    </row>
    <row r="360" spans="1:8" s="26" customFormat="1" ht="15" customHeight="1" x14ac:dyDescent="0.3">
      <c r="A360" s="88"/>
      <c r="B360" s="85" t="s">
        <v>66</v>
      </c>
      <c r="C360" s="51" t="s">
        <v>18</v>
      </c>
      <c r="D360" s="56">
        <v>124</v>
      </c>
      <c r="E360" s="56">
        <v>212</v>
      </c>
      <c r="F360" s="56">
        <v>1138</v>
      </c>
      <c r="G360" s="56">
        <v>330</v>
      </c>
      <c r="H360" s="57">
        <v>1804</v>
      </c>
    </row>
    <row r="361" spans="1:8" s="26" customFormat="1" ht="15" customHeight="1" x14ac:dyDescent="0.3">
      <c r="A361" s="88"/>
      <c r="B361" s="85"/>
      <c r="C361" s="51" t="s">
        <v>19</v>
      </c>
      <c r="D361" s="56">
        <v>123</v>
      </c>
      <c r="E361" s="56">
        <v>188</v>
      </c>
      <c r="F361" s="56">
        <v>1117</v>
      </c>
      <c r="G361" s="56">
        <v>373</v>
      </c>
      <c r="H361" s="57">
        <v>1801</v>
      </c>
    </row>
    <row r="362" spans="1:8" s="26" customFormat="1" ht="15" customHeight="1" x14ac:dyDescent="0.3">
      <c r="A362" s="88"/>
      <c r="B362" s="85"/>
      <c r="C362" s="51" t="s">
        <v>26</v>
      </c>
      <c r="D362" s="56">
        <v>247</v>
      </c>
      <c r="E362" s="56">
        <v>400</v>
      </c>
      <c r="F362" s="56">
        <v>2255</v>
      </c>
      <c r="G362" s="56">
        <v>703</v>
      </c>
      <c r="H362" s="57">
        <v>3605</v>
      </c>
    </row>
    <row r="363" spans="1:8" customFormat="1" ht="17.25" customHeight="1" x14ac:dyDescent="0.3">
      <c r="A363" s="4" t="s">
        <v>4</v>
      </c>
      <c r="B363" s="4"/>
      <c r="C363" s="5"/>
      <c r="D363" s="5"/>
      <c r="E363" s="5"/>
      <c r="F363" s="5"/>
      <c r="G363" s="6"/>
      <c r="H363" s="6"/>
    </row>
    <row r="364" spans="1:8" s="26" customFormat="1" ht="12" customHeight="1" x14ac:dyDescent="0.3">
      <c r="A364" s="27" t="s">
        <v>5</v>
      </c>
      <c r="B364" s="27"/>
      <c r="G364" s="37"/>
      <c r="H364" s="37"/>
    </row>
    <row r="365" spans="1:8" s="26" customFormat="1" ht="12" customHeight="1" x14ac:dyDescent="0.3">
      <c r="A365" s="86" t="s">
        <v>120</v>
      </c>
      <c r="B365" s="86"/>
      <c r="C365" s="86"/>
      <c r="D365" s="86"/>
      <c r="E365" s="86"/>
      <c r="F365" s="86"/>
      <c r="G365" s="86"/>
      <c r="H365" s="86"/>
    </row>
    <row r="366" spans="1:8" s="26" customFormat="1" ht="12" customHeight="1" x14ac:dyDescent="0.3">
      <c r="A366" s="27" t="s">
        <v>35</v>
      </c>
      <c r="B366" s="27"/>
      <c r="G366" s="37"/>
      <c r="H366" s="37"/>
    </row>
    <row r="367" spans="1:8" s="26" customFormat="1" ht="12" customHeight="1" x14ac:dyDescent="0.3">
      <c r="A367" s="30" t="s">
        <v>7</v>
      </c>
      <c r="B367" s="30"/>
      <c r="C367" s="28"/>
      <c r="D367" s="28"/>
      <c r="E367" s="28"/>
      <c r="G367" s="37"/>
      <c r="H367" s="37"/>
    </row>
    <row r="368" spans="1:8" s="26" customFormat="1" ht="12" customHeight="1" x14ac:dyDescent="0.3">
      <c r="A368" s="27" t="s">
        <v>105</v>
      </c>
      <c r="B368" s="27"/>
      <c r="G368" s="37"/>
      <c r="H368" s="37"/>
    </row>
    <row r="369" spans="1:8" s="26" customFormat="1" ht="12" customHeight="1" x14ac:dyDescent="0.3">
      <c r="A369" s="30" t="s">
        <v>6</v>
      </c>
      <c r="B369" s="30"/>
      <c r="G369" s="37"/>
      <c r="H369" s="37"/>
    </row>
    <row r="370" spans="1:8" s="26" customFormat="1" ht="12" customHeight="1" x14ac:dyDescent="0.3">
      <c r="A370" s="27" t="s">
        <v>87</v>
      </c>
      <c r="B370" s="27"/>
      <c r="G370" s="37"/>
      <c r="H370" s="37"/>
    </row>
    <row r="371" spans="1:8" customFormat="1" ht="30" customHeight="1" x14ac:dyDescent="0.3">
      <c r="A371" s="84" t="s">
        <v>54</v>
      </c>
      <c r="B371" s="84"/>
      <c r="C371" s="84"/>
    </row>
  </sheetData>
  <mergeCells count="133">
    <mergeCell ref="B357:B359"/>
    <mergeCell ref="B360:B362"/>
    <mergeCell ref="B342:B344"/>
    <mergeCell ref="B345:B347"/>
    <mergeCell ref="B348:B350"/>
    <mergeCell ref="B351:B353"/>
    <mergeCell ref="B354:B356"/>
    <mergeCell ref="B327:B329"/>
    <mergeCell ref="B330:B332"/>
    <mergeCell ref="B333:B335"/>
    <mergeCell ref="B336:B338"/>
    <mergeCell ref="B339:B341"/>
    <mergeCell ref="B312:B314"/>
    <mergeCell ref="B315:B317"/>
    <mergeCell ref="B318:B320"/>
    <mergeCell ref="B321:B323"/>
    <mergeCell ref="B324:B326"/>
    <mergeCell ref="B297:B299"/>
    <mergeCell ref="B300:B302"/>
    <mergeCell ref="B303:B305"/>
    <mergeCell ref="B306:B308"/>
    <mergeCell ref="B309:B311"/>
    <mergeCell ref="B282:B284"/>
    <mergeCell ref="B285:B287"/>
    <mergeCell ref="B288:B290"/>
    <mergeCell ref="B291:B293"/>
    <mergeCell ref="B294:B296"/>
    <mergeCell ref="B267:B269"/>
    <mergeCell ref="B270:B272"/>
    <mergeCell ref="B273:B275"/>
    <mergeCell ref="B276:B278"/>
    <mergeCell ref="B279:B281"/>
    <mergeCell ref="B252:B254"/>
    <mergeCell ref="B255:B257"/>
    <mergeCell ref="B258:B260"/>
    <mergeCell ref="B261:B263"/>
    <mergeCell ref="B264:B266"/>
    <mergeCell ref="B237:B239"/>
    <mergeCell ref="B240:B242"/>
    <mergeCell ref="B243:B245"/>
    <mergeCell ref="B246:B248"/>
    <mergeCell ref="B249:B251"/>
    <mergeCell ref="B222:B224"/>
    <mergeCell ref="B225:B227"/>
    <mergeCell ref="B228:B230"/>
    <mergeCell ref="B231:B233"/>
    <mergeCell ref="B234:B236"/>
    <mergeCell ref="B207:B209"/>
    <mergeCell ref="B210:B212"/>
    <mergeCell ref="B213:B215"/>
    <mergeCell ref="B216:B218"/>
    <mergeCell ref="B219:B221"/>
    <mergeCell ref="B192:B194"/>
    <mergeCell ref="B195:B197"/>
    <mergeCell ref="B198:B200"/>
    <mergeCell ref="B201:B203"/>
    <mergeCell ref="B204:B206"/>
    <mergeCell ref="B177:B179"/>
    <mergeCell ref="B180:B182"/>
    <mergeCell ref="B183:B185"/>
    <mergeCell ref="B186:B188"/>
    <mergeCell ref="B189:B191"/>
    <mergeCell ref="B162:B164"/>
    <mergeCell ref="B165:B167"/>
    <mergeCell ref="B168:B170"/>
    <mergeCell ref="B171:B173"/>
    <mergeCell ref="B174:B176"/>
    <mergeCell ref="B147:B149"/>
    <mergeCell ref="B150:B152"/>
    <mergeCell ref="B153:B155"/>
    <mergeCell ref="B156:B158"/>
    <mergeCell ref="B159:B161"/>
    <mergeCell ref="B132:B134"/>
    <mergeCell ref="B135:B137"/>
    <mergeCell ref="B138:B140"/>
    <mergeCell ref="B141:B143"/>
    <mergeCell ref="B144:B146"/>
    <mergeCell ref="B117:B119"/>
    <mergeCell ref="B120:B122"/>
    <mergeCell ref="B123:B125"/>
    <mergeCell ref="B126:B128"/>
    <mergeCell ref="B129:B131"/>
    <mergeCell ref="B105:B107"/>
    <mergeCell ref="B108:B110"/>
    <mergeCell ref="B111:B113"/>
    <mergeCell ref="B114:B116"/>
    <mergeCell ref="B87:B89"/>
    <mergeCell ref="B90:B92"/>
    <mergeCell ref="B93:B95"/>
    <mergeCell ref="B96:B98"/>
    <mergeCell ref="B99:B101"/>
    <mergeCell ref="B78:B80"/>
    <mergeCell ref="B81:B83"/>
    <mergeCell ref="B84:B86"/>
    <mergeCell ref="B57:B59"/>
    <mergeCell ref="B60:B62"/>
    <mergeCell ref="B63:B65"/>
    <mergeCell ref="B66:B68"/>
    <mergeCell ref="B69:B71"/>
    <mergeCell ref="B102:B104"/>
    <mergeCell ref="B51:B53"/>
    <mergeCell ref="B54:B56"/>
    <mergeCell ref="B27:B29"/>
    <mergeCell ref="B30:B32"/>
    <mergeCell ref="B33:B35"/>
    <mergeCell ref="B36:B38"/>
    <mergeCell ref="B39:B41"/>
    <mergeCell ref="B72:B74"/>
    <mergeCell ref="B75:B77"/>
    <mergeCell ref="B12:B14"/>
    <mergeCell ref="B15:B17"/>
    <mergeCell ref="B18:B20"/>
    <mergeCell ref="B21:B23"/>
    <mergeCell ref="B24:B26"/>
    <mergeCell ref="A371:C371"/>
    <mergeCell ref="A365:H365"/>
    <mergeCell ref="A1:H1"/>
    <mergeCell ref="A3:A38"/>
    <mergeCell ref="A39:A74"/>
    <mergeCell ref="A75:A110"/>
    <mergeCell ref="A111:A146"/>
    <mergeCell ref="A147:A182"/>
    <mergeCell ref="A183:A218"/>
    <mergeCell ref="A219:A254"/>
    <mergeCell ref="A255:A290"/>
    <mergeCell ref="A291:A326"/>
    <mergeCell ref="A327:A362"/>
    <mergeCell ref="B3:B5"/>
    <mergeCell ref="B6:B8"/>
    <mergeCell ref="B9:B11"/>
    <mergeCell ref="B42:B44"/>
    <mergeCell ref="B45:B47"/>
    <mergeCell ref="B48:B50"/>
  </mergeCells>
  <phoneticPr fontId="41" type="noConversion"/>
  <hyperlinks>
    <hyperlink ref="A371" location="'Table of contents'!A1" display="End of worksheet (back to Table of contents)" xr:uid="{FC69395E-F5ED-4C69-B9E9-66275D0417B1}"/>
  </hyperlinks>
  <pageMargins left="0.7" right="0.7" top="0.75" bottom="0.75" header="0.3" footer="0.3"/>
  <pageSetup scale="86" fitToHeight="0" orientation="landscape" r:id="rId1"/>
  <headerFooter>
    <oddFooter>&amp;L&amp;9© 2025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23E2-5DF3-43E7-AF27-4A326297CA1A}">
  <dimension ref="A1:L39"/>
  <sheetViews>
    <sheetView tabSelected="1" topLeftCell="A2" workbookViewId="0">
      <selection activeCell="H11" sqref="H11:H12"/>
    </sheetView>
  </sheetViews>
  <sheetFormatPr defaultRowHeight="14" x14ac:dyDescent="0.3"/>
  <cols>
    <col min="1" max="1" width="16.25" bestFit="1" customWidth="1"/>
    <col min="2" max="2" width="14.1640625" bestFit="1" customWidth="1"/>
    <col min="3" max="3" width="6.6640625" bestFit="1" customWidth="1"/>
    <col min="4" max="8" width="7.08203125" bestFit="1" customWidth="1"/>
    <col min="12" max="12" width="9.75" bestFit="1" customWidth="1"/>
  </cols>
  <sheetData>
    <row r="1" spans="1:12" s="83" customFormat="1" ht="30" customHeight="1" x14ac:dyDescent="0.3">
      <c r="A1" s="83" t="s">
        <v>92</v>
      </c>
    </row>
    <row r="2" spans="1:12" s="83" customFormat="1" ht="30.65" customHeight="1" x14ac:dyDescent="0.3"/>
    <row r="3" spans="1:12" s="90" customFormat="1" ht="56" x14ac:dyDescent="0.3">
      <c r="A3" s="62" t="s">
        <v>20</v>
      </c>
      <c r="B3" s="63" t="s">
        <v>33</v>
      </c>
      <c r="C3" s="63" t="s">
        <v>17</v>
      </c>
      <c r="D3" s="64" t="s">
        <v>70</v>
      </c>
      <c r="E3" s="64" t="s">
        <v>71</v>
      </c>
      <c r="F3" s="64" t="s">
        <v>72</v>
      </c>
      <c r="G3" s="64" t="s">
        <v>73</v>
      </c>
      <c r="H3" s="65" t="s">
        <v>74</v>
      </c>
    </row>
    <row r="4" spans="1:12" s="26" customFormat="1" ht="15" customHeight="1" x14ac:dyDescent="0.3">
      <c r="A4" s="88" t="s">
        <v>0</v>
      </c>
      <c r="B4" s="85" t="s">
        <v>55</v>
      </c>
      <c r="C4" s="51" t="s">
        <v>18</v>
      </c>
      <c r="D4" s="56">
        <v>15919</v>
      </c>
      <c r="E4" s="56">
        <v>36013</v>
      </c>
      <c r="F4" s="56">
        <v>155625</v>
      </c>
      <c r="G4" s="56">
        <v>71868</v>
      </c>
      <c r="H4" s="57">
        <v>279449</v>
      </c>
    </row>
    <row r="5" spans="1:12" s="26" customFormat="1" ht="15" customHeight="1" x14ac:dyDescent="0.3">
      <c r="A5" s="88"/>
      <c r="B5" s="85"/>
      <c r="C5" s="51" t="s">
        <v>19</v>
      </c>
      <c r="D5" s="56">
        <v>19023</v>
      </c>
      <c r="E5" s="56">
        <v>35262</v>
      </c>
      <c r="F5" s="56">
        <v>133711</v>
      </c>
      <c r="G5" s="56">
        <v>63787</v>
      </c>
      <c r="H5" s="57">
        <v>251860</v>
      </c>
    </row>
    <row r="6" spans="1:12" s="26" customFormat="1" ht="15" customHeight="1" x14ac:dyDescent="0.3">
      <c r="A6" s="88"/>
      <c r="B6" s="85"/>
      <c r="C6" s="51" t="s">
        <v>26</v>
      </c>
      <c r="D6" s="56">
        <v>34943</v>
      </c>
      <c r="E6" s="56">
        <v>71295</v>
      </c>
      <c r="F6" s="56">
        <v>289376</v>
      </c>
      <c r="G6" s="56">
        <v>135657</v>
      </c>
      <c r="H6" s="57">
        <v>531378</v>
      </c>
    </row>
    <row r="7" spans="1:12" s="26" customFormat="1" ht="15" customHeight="1" x14ac:dyDescent="0.3">
      <c r="A7" s="88"/>
      <c r="B7" s="85" t="s">
        <v>56</v>
      </c>
      <c r="C7" s="51" t="s">
        <v>18</v>
      </c>
      <c r="D7" s="56">
        <v>15234</v>
      </c>
      <c r="E7" s="56">
        <v>38742</v>
      </c>
      <c r="F7" s="56">
        <v>163691</v>
      </c>
      <c r="G7" s="56">
        <v>77686</v>
      </c>
      <c r="H7" s="57">
        <v>295382</v>
      </c>
    </row>
    <row r="8" spans="1:12" s="26" customFormat="1" ht="15" customHeight="1" x14ac:dyDescent="0.3">
      <c r="A8" s="88"/>
      <c r="B8" s="85"/>
      <c r="C8" s="51" t="s">
        <v>19</v>
      </c>
      <c r="D8" s="56">
        <v>18889</v>
      </c>
      <c r="E8" s="56">
        <v>40193</v>
      </c>
      <c r="F8" s="56">
        <v>144245</v>
      </c>
      <c r="G8" s="56">
        <v>68684</v>
      </c>
      <c r="H8" s="57">
        <v>272116</v>
      </c>
    </row>
    <row r="9" spans="1:12" s="26" customFormat="1" ht="15" customHeight="1" x14ac:dyDescent="0.3">
      <c r="A9" s="88"/>
      <c r="B9" s="85"/>
      <c r="C9" s="51" t="s">
        <v>26</v>
      </c>
      <c r="D9" s="56">
        <v>34128</v>
      </c>
      <c r="E9" s="56">
        <v>78945</v>
      </c>
      <c r="F9" s="56">
        <v>307979</v>
      </c>
      <c r="G9" s="56">
        <v>146372</v>
      </c>
      <c r="H9" s="57">
        <v>567561</v>
      </c>
    </row>
    <row r="10" spans="1:12" s="26" customFormat="1" ht="15" customHeight="1" x14ac:dyDescent="0.3">
      <c r="A10" s="88"/>
      <c r="B10" s="85" t="s">
        <v>57</v>
      </c>
      <c r="C10" s="51" t="s">
        <v>18</v>
      </c>
      <c r="D10" s="56">
        <v>14013</v>
      </c>
      <c r="E10" s="56">
        <v>34066</v>
      </c>
      <c r="F10" s="56">
        <v>158039</v>
      </c>
      <c r="G10" s="56">
        <v>74485</v>
      </c>
      <c r="H10" s="57">
        <v>280630</v>
      </c>
    </row>
    <row r="11" spans="1:12" s="26" customFormat="1" ht="15" customHeight="1" x14ac:dyDescent="0.3">
      <c r="A11" s="88"/>
      <c r="B11" s="85"/>
      <c r="C11" s="51" t="s">
        <v>19</v>
      </c>
      <c r="D11" s="56">
        <v>17173</v>
      </c>
      <c r="E11" s="56">
        <v>35741</v>
      </c>
      <c r="F11" s="56">
        <v>142321</v>
      </c>
      <c r="G11" s="56">
        <v>67574</v>
      </c>
      <c r="H11" s="57">
        <v>262899</v>
      </c>
    </row>
    <row r="12" spans="1:12" s="26" customFormat="1" ht="15" customHeight="1" x14ac:dyDescent="0.3">
      <c r="A12" s="88"/>
      <c r="B12" s="85"/>
      <c r="C12" s="51" t="s">
        <v>26</v>
      </c>
      <c r="D12" s="56">
        <v>31186</v>
      </c>
      <c r="E12" s="56">
        <v>69822</v>
      </c>
      <c r="F12" s="56">
        <v>300404</v>
      </c>
      <c r="G12" s="56">
        <v>142062</v>
      </c>
      <c r="H12" s="57">
        <v>543595</v>
      </c>
      <c r="L12" s="91">
        <f>SUM(H4:H39)</f>
        <v>13231894</v>
      </c>
    </row>
    <row r="13" spans="1:12" s="26" customFormat="1" ht="15" customHeight="1" x14ac:dyDescent="0.3">
      <c r="A13" s="88"/>
      <c r="B13" s="85" t="s">
        <v>58</v>
      </c>
      <c r="C13" s="51" t="s">
        <v>18</v>
      </c>
      <c r="D13" s="56">
        <v>14290</v>
      </c>
      <c r="E13" s="56">
        <v>32534</v>
      </c>
      <c r="F13" s="56">
        <v>168078</v>
      </c>
      <c r="G13" s="56">
        <v>78974</v>
      </c>
      <c r="H13" s="57">
        <v>293906</v>
      </c>
    </row>
    <row r="14" spans="1:12" s="26" customFormat="1" ht="15" customHeight="1" x14ac:dyDescent="0.3">
      <c r="A14" s="88"/>
      <c r="B14" s="85"/>
      <c r="C14" s="51" t="s">
        <v>19</v>
      </c>
      <c r="D14" s="56">
        <v>17274</v>
      </c>
      <c r="E14" s="56">
        <v>32918</v>
      </c>
      <c r="F14" s="56">
        <v>151177</v>
      </c>
      <c r="G14" s="56">
        <v>70961</v>
      </c>
      <c r="H14" s="57">
        <v>272413</v>
      </c>
    </row>
    <row r="15" spans="1:12" s="26" customFormat="1" ht="15" customHeight="1" x14ac:dyDescent="0.3">
      <c r="A15" s="88"/>
      <c r="B15" s="85"/>
      <c r="C15" s="51" t="s">
        <v>26</v>
      </c>
      <c r="D15" s="56">
        <v>31567</v>
      </c>
      <c r="E15" s="56">
        <v>65469</v>
      </c>
      <c r="F15" s="56">
        <v>319308</v>
      </c>
      <c r="G15" s="56">
        <v>149937</v>
      </c>
      <c r="H15" s="57">
        <v>566396</v>
      </c>
    </row>
    <row r="16" spans="1:12" s="26" customFormat="1" ht="15" customHeight="1" x14ac:dyDescent="0.3">
      <c r="A16" s="88"/>
      <c r="B16" s="85" t="s">
        <v>59</v>
      </c>
      <c r="C16" s="51" t="s">
        <v>18</v>
      </c>
      <c r="D16" s="56">
        <v>13484</v>
      </c>
      <c r="E16" s="56">
        <v>31112</v>
      </c>
      <c r="F16" s="56">
        <v>167255</v>
      </c>
      <c r="G16" s="56">
        <v>79011</v>
      </c>
      <c r="H16" s="57">
        <v>290890</v>
      </c>
    </row>
    <row r="17" spans="1:8" s="26" customFormat="1" ht="15" customHeight="1" x14ac:dyDescent="0.3">
      <c r="A17" s="88"/>
      <c r="B17" s="85"/>
      <c r="C17" s="51" t="s">
        <v>19</v>
      </c>
      <c r="D17" s="56">
        <v>16741</v>
      </c>
      <c r="E17" s="56">
        <v>32118</v>
      </c>
      <c r="F17" s="56">
        <v>151213</v>
      </c>
      <c r="G17" s="56">
        <v>70436</v>
      </c>
      <c r="H17" s="57">
        <v>270594</v>
      </c>
    </row>
    <row r="18" spans="1:8" s="26" customFormat="1" ht="15" customHeight="1" x14ac:dyDescent="0.3">
      <c r="A18" s="88"/>
      <c r="B18" s="85"/>
      <c r="C18" s="51" t="s">
        <v>26</v>
      </c>
      <c r="D18" s="56">
        <v>30233</v>
      </c>
      <c r="E18" s="56">
        <v>63249</v>
      </c>
      <c r="F18" s="56">
        <v>318509</v>
      </c>
      <c r="G18" s="56">
        <v>149449</v>
      </c>
      <c r="H18" s="57">
        <v>561556</v>
      </c>
    </row>
    <row r="19" spans="1:8" s="26" customFormat="1" ht="15" customHeight="1" x14ac:dyDescent="0.3">
      <c r="A19" s="88"/>
      <c r="B19" s="85" t="s">
        <v>60</v>
      </c>
      <c r="C19" s="51" t="s">
        <v>18</v>
      </c>
      <c r="D19" s="56">
        <v>14446</v>
      </c>
      <c r="E19" s="56">
        <v>35563</v>
      </c>
      <c r="F19" s="56">
        <v>161646</v>
      </c>
      <c r="G19" s="56">
        <v>75295</v>
      </c>
      <c r="H19" s="57">
        <v>286981</v>
      </c>
    </row>
    <row r="20" spans="1:8" s="26" customFormat="1" ht="15" customHeight="1" x14ac:dyDescent="0.3">
      <c r="A20" s="88"/>
      <c r="B20" s="85"/>
      <c r="C20" s="51" t="s">
        <v>19</v>
      </c>
      <c r="D20" s="56">
        <v>18356</v>
      </c>
      <c r="E20" s="56">
        <v>37814</v>
      </c>
      <c r="F20" s="56">
        <v>142721</v>
      </c>
      <c r="G20" s="56">
        <v>67252</v>
      </c>
      <c r="H20" s="57">
        <v>266228</v>
      </c>
    </row>
    <row r="21" spans="1:8" s="26" customFormat="1" ht="15" customHeight="1" x14ac:dyDescent="0.3">
      <c r="A21" s="88"/>
      <c r="B21" s="85"/>
      <c r="C21" s="51" t="s">
        <v>26</v>
      </c>
      <c r="D21" s="56">
        <v>32815</v>
      </c>
      <c r="E21" s="56">
        <v>73404</v>
      </c>
      <c r="F21" s="56">
        <v>304421</v>
      </c>
      <c r="G21" s="56">
        <v>142551</v>
      </c>
      <c r="H21" s="57">
        <v>553307</v>
      </c>
    </row>
    <row r="22" spans="1:8" s="26" customFormat="1" ht="15" customHeight="1" x14ac:dyDescent="0.3">
      <c r="A22" s="88"/>
      <c r="B22" s="85" t="s">
        <v>61</v>
      </c>
      <c r="C22" s="51" t="s">
        <v>18</v>
      </c>
      <c r="D22" s="56">
        <v>16821</v>
      </c>
      <c r="E22" s="56">
        <v>38839</v>
      </c>
      <c r="F22" s="56">
        <v>165994</v>
      </c>
      <c r="G22" s="56">
        <v>77715</v>
      </c>
      <c r="H22" s="57">
        <v>299385</v>
      </c>
    </row>
    <row r="23" spans="1:8" s="26" customFormat="1" ht="15" customHeight="1" x14ac:dyDescent="0.3">
      <c r="A23" s="88"/>
      <c r="B23" s="85"/>
      <c r="C23" s="51" t="s">
        <v>19</v>
      </c>
      <c r="D23" s="56">
        <v>20744</v>
      </c>
      <c r="E23" s="56">
        <v>41295</v>
      </c>
      <c r="F23" s="56">
        <v>142373</v>
      </c>
      <c r="G23" s="56">
        <v>69112</v>
      </c>
      <c r="H23" s="57">
        <v>273589</v>
      </c>
    </row>
    <row r="24" spans="1:8" s="26" customFormat="1" ht="15" customHeight="1" x14ac:dyDescent="0.3">
      <c r="A24" s="88"/>
      <c r="B24" s="85"/>
      <c r="C24" s="51" t="s">
        <v>26</v>
      </c>
      <c r="D24" s="56">
        <v>37567</v>
      </c>
      <c r="E24" s="56">
        <v>80157</v>
      </c>
      <c r="F24" s="56">
        <v>308423</v>
      </c>
      <c r="G24" s="56">
        <v>146831</v>
      </c>
      <c r="H24" s="57">
        <v>573064</v>
      </c>
    </row>
    <row r="25" spans="1:8" s="26" customFormat="1" ht="15" customHeight="1" x14ac:dyDescent="0.3">
      <c r="A25" s="88"/>
      <c r="B25" s="85" t="s">
        <v>62</v>
      </c>
      <c r="C25" s="51" t="s">
        <v>18</v>
      </c>
      <c r="D25" s="56">
        <v>19533</v>
      </c>
      <c r="E25" s="56">
        <v>39263</v>
      </c>
      <c r="F25" s="56">
        <v>160452</v>
      </c>
      <c r="G25" s="56">
        <v>72593</v>
      </c>
      <c r="H25" s="57">
        <v>291868</v>
      </c>
    </row>
    <row r="26" spans="1:8" s="26" customFormat="1" ht="15" customHeight="1" x14ac:dyDescent="0.3">
      <c r="A26" s="88"/>
      <c r="B26" s="85"/>
      <c r="C26" s="51" t="s">
        <v>19</v>
      </c>
      <c r="D26" s="56">
        <v>23515</v>
      </c>
      <c r="E26" s="56">
        <v>39162</v>
      </c>
      <c r="F26" s="56">
        <v>134329</v>
      </c>
      <c r="G26" s="56">
        <v>63906</v>
      </c>
      <c r="H26" s="57">
        <v>260981</v>
      </c>
    </row>
    <row r="27" spans="1:8" s="26" customFormat="1" ht="15" customHeight="1" x14ac:dyDescent="0.3">
      <c r="A27" s="88"/>
      <c r="B27" s="85"/>
      <c r="C27" s="51" t="s">
        <v>26</v>
      </c>
      <c r="D27" s="56">
        <v>43049</v>
      </c>
      <c r="E27" s="56">
        <v>78449</v>
      </c>
      <c r="F27" s="56">
        <v>294835</v>
      </c>
      <c r="G27" s="56">
        <v>136504</v>
      </c>
      <c r="H27" s="57">
        <v>552938</v>
      </c>
    </row>
    <row r="28" spans="1:8" s="26" customFormat="1" ht="15" customHeight="1" x14ac:dyDescent="0.3">
      <c r="A28" s="88"/>
      <c r="B28" s="85" t="s">
        <v>63</v>
      </c>
      <c r="C28" s="51" t="s">
        <v>18</v>
      </c>
      <c r="D28" s="56">
        <v>24277</v>
      </c>
      <c r="E28" s="56">
        <v>35639</v>
      </c>
      <c r="F28" s="56">
        <v>160962</v>
      </c>
      <c r="G28" s="56">
        <v>76621</v>
      </c>
      <c r="H28" s="57">
        <v>297516</v>
      </c>
    </row>
    <row r="29" spans="1:8" s="26" customFormat="1" ht="15" customHeight="1" x14ac:dyDescent="0.3">
      <c r="A29" s="88"/>
      <c r="B29" s="85"/>
      <c r="C29" s="51" t="s">
        <v>19</v>
      </c>
      <c r="D29" s="56">
        <v>28837</v>
      </c>
      <c r="E29" s="56">
        <v>35616</v>
      </c>
      <c r="F29" s="56">
        <v>135999</v>
      </c>
      <c r="G29" s="56">
        <v>67884</v>
      </c>
      <c r="H29" s="57">
        <v>268401</v>
      </c>
    </row>
    <row r="30" spans="1:8" s="26" customFormat="1" ht="15" customHeight="1" x14ac:dyDescent="0.3">
      <c r="A30" s="88"/>
      <c r="B30" s="85"/>
      <c r="C30" s="51" t="s">
        <v>26</v>
      </c>
      <c r="D30" s="56">
        <v>53118</v>
      </c>
      <c r="E30" s="56">
        <v>71276</v>
      </c>
      <c r="F30" s="56">
        <v>297027</v>
      </c>
      <c r="G30" s="56">
        <v>144507</v>
      </c>
      <c r="H30" s="57">
        <v>566014</v>
      </c>
    </row>
    <row r="31" spans="1:8" s="26" customFormat="1" ht="15" customHeight="1" x14ac:dyDescent="0.3">
      <c r="A31" s="88"/>
      <c r="B31" s="85" t="s">
        <v>64</v>
      </c>
      <c r="C31" s="51" t="s">
        <v>18</v>
      </c>
      <c r="D31" s="56">
        <v>19716</v>
      </c>
      <c r="E31" s="56">
        <v>35328</v>
      </c>
      <c r="F31" s="56">
        <v>165917</v>
      </c>
      <c r="G31" s="56">
        <v>75534</v>
      </c>
      <c r="H31" s="57">
        <v>296516</v>
      </c>
    </row>
    <row r="32" spans="1:8" s="26" customFormat="1" ht="15" customHeight="1" x14ac:dyDescent="0.3">
      <c r="A32" s="88"/>
      <c r="B32" s="85"/>
      <c r="C32" s="51" t="s">
        <v>19</v>
      </c>
      <c r="D32" s="56">
        <v>23425</v>
      </c>
      <c r="E32" s="56">
        <v>34328</v>
      </c>
      <c r="F32" s="56">
        <v>140329</v>
      </c>
      <c r="G32" s="56">
        <v>67185</v>
      </c>
      <c r="H32" s="57">
        <v>265322</v>
      </c>
    </row>
    <row r="33" spans="1:8" s="26" customFormat="1" ht="15" customHeight="1" x14ac:dyDescent="0.3">
      <c r="A33" s="88"/>
      <c r="B33" s="85"/>
      <c r="C33" s="51" t="s">
        <v>26</v>
      </c>
      <c r="D33" s="56">
        <v>43144</v>
      </c>
      <c r="E33" s="56">
        <v>69686</v>
      </c>
      <c r="F33" s="56">
        <v>306297</v>
      </c>
      <c r="G33" s="56">
        <v>142722</v>
      </c>
      <c r="H33" s="57">
        <v>561933</v>
      </c>
    </row>
    <row r="34" spans="1:8" s="26" customFormat="1" ht="15" customHeight="1" x14ac:dyDescent="0.3">
      <c r="A34" s="88"/>
      <c r="B34" s="85" t="s">
        <v>65</v>
      </c>
      <c r="C34" s="51" t="s">
        <v>18</v>
      </c>
      <c r="D34" s="56">
        <v>16516</v>
      </c>
      <c r="E34" s="56">
        <v>31646</v>
      </c>
      <c r="F34" s="56">
        <v>146093</v>
      </c>
      <c r="G34" s="56">
        <v>65632</v>
      </c>
      <c r="H34" s="57">
        <v>259900</v>
      </c>
    </row>
    <row r="35" spans="1:8" s="26" customFormat="1" ht="15" customHeight="1" x14ac:dyDescent="0.3">
      <c r="A35" s="88"/>
      <c r="B35" s="85"/>
      <c r="C35" s="51" t="s">
        <v>19</v>
      </c>
      <c r="D35" s="56">
        <v>19383</v>
      </c>
      <c r="E35" s="56">
        <v>30971</v>
      </c>
      <c r="F35" s="56">
        <v>122683</v>
      </c>
      <c r="G35" s="56">
        <v>58461</v>
      </c>
      <c r="H35" s="57">
        <v>231545</v>
      </c>
    </row>
    <row r="36" spans="1:8" s="26" customFormat="1" ht="15" customHeight="1" x14ac:dyDescent="0.3">
      <c r="A36" s="88"/>
      <c r="B36" s="85"/>
      <c r="C36" s="51" t="s">
        <v>26</v>
      </c>
      <c r="D36" s="56">
        <v>35902</v>
      </c>
      <c r="E36" s="56">
        <v>62630</v>
      </c>
      <c r="F36" s="56">
        <v>268821</v>
      </c>
      <c r="G36" s="56">
        <v>124094</v>
      </c>
      <c r="H36" s="57">
        <v>491512</v>
      </c>
    </row>
    <row r="37" spans="1:8" s="26" customFormat="1" ht="15" customHeight="1" x14ac:dyDescent="0.3">
      <c r="A37" s="88"/>
      <c r="B37" s="85" t="s">
        <v>66</v>
      </c>
      <c r="C37" s="51" t="s">
        <v>18</v>
      </c>
      <c r="D37" s="56">
        <v>17051</v>
      </c>
      <c r="E37" s="56">
        <v>34682</v>
      </c>
      <c r="F37" s="56">
        <v>162120</v>
      </c>
      <c r="G37" s="56">
        <v>75855</v>
      </c>
      <c r="H37" s="57">
        <v>289721</v>
      </c>
    </row>
    <row r="38" spans="1:8" s="26" customFormat="1" ht="15" customHeight="1" x14ac:dyDescent="0.3">
      <c r="A38" s="88"/>
      <c r="B38" s="85"/>
      <c r="C38" s="51" t="s">
        <v>19</v>
      </c>
      <c r="D38" s="56">
        <v>20345</v>
      </c>
      <c r="E38" s="56">
        <v>33777</v>
      </c>
      <c r="F38" s="56">
        <v>136499</v>
      </c>
      <c r="G38" s="56">
        <v>66712</v>
      </c>
      <c r="H38" s="57">
        <v>257371</v>
      </c>
    </row>
    <row r="39" spans="1:8" s="26" customFormat="1" ht="15" customHeight="1" x14ac:dyDescent="0.3">
      <c r="A39" s="88"/>
      <c r="B39" s="85"/>
      <c r="C39" s="51" t="s">
        <v>26</v>
      </c>
      <c r="D39" s="56">
        <v>37397</v>
      </c>
      <c r="E39" s="56">
        <v>68473</v>
      </c>
      <c r="F39" s="56">
        <v>298680</v>
      </c>
      <c r="G39" s="56">
        <v>142568</v>
      </c>
      <c r="H39" s="57">
        <v>547177</v>
      </c>
    </row>
  </sheetData>
  <mergeCells count="14">
    <mergeCell ref="B25:B27"/>
    <mergeCell ref="B28:B30"/>
    <mergeCell ref="B31:B33"/>
    <mergeCell ref="B34:B36"/>
    <mergeCell ref="B37:B39"/>
    <mergeCell ref="A1:XFD2"/>
    <mergeCell ref="A4:A39"/>
    <mergeCell ref="B4:B6"/>
    <mergeCell ref="B7:B9"/>
    <mergeCell ref="B10:B12"/>
    <mergeCell ref="B13:B15"/>
    <mergeCell ref="B16:B18"/>
    <mergeCell ref="B19:B21"/>
    <mergeCell ref="B22:B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19"/>
  <sheetViews>
    <sheetView showGridLines="0" zoomScaleNormal="100" workbookViewId="0">
      <selection sqref="A1:E1"/>
    </sheetView>
  </sheetViews>
  <sheetFormatPr defaultColWidth="0" defaultRowHeight="14" zeroHeight="1" x14ac:dyDescent="0.3"/>
  <cols>
    <col min="1" max="1" width="65.58203125" style="2" customWidth="1"/>
    <col min="2" max="5" width="20.58203125" style="2" customWidth="1"/>
    <col min="6" max="10" width="0" style="2" hidden="1" customWidth="1"/>
    <col min="11" max="16384" width="8.58203125" style="2" hidden="1"/>
  </cols>
  <sheetData>
    <row r="1" spans="1:6" customFormat="1" ht="50" customHeight="1" x14ac:dyDescent="0.3">
      <c r="A1" s="89" t="s">
        <v>93</v>
      </c>
      <c r="B1" s="89"/>
      <c r="C1" s="89"/>
      <c r="D1" s="89"/>
      <c r="E1" s="89"/>
    </row>
    <row r="2" spans="1:6" customFormat="1" ht="34.4" customHeight="1" x14ac:dyDescent="0.3">
      <c r="A2" s="13" t="s">
        <v>21</v>
      </c>
      <c r="B2" s="17" t="s">
        <v>43</v>
      </c>
      <c r="C2" s="17" t="s">
        <v>22</v>
      </c>
      <c r="D2" s="17" t="s">
        <v>23</v>
      </c>
      <c r="E2" s="18" t="s">
        <v>24</v>
      </c>
      <c r="F2" s="24" t="s">
        <v>47</v>
      </c>
    </row>
    <row r="3" spans="1:6" ht="15" customHeight="1" x14ac:dyDescent="0.3">
      <c r="A3" s="53" t="s">
        <v>95</v>
      </c>
      <c r="B3" s="56">
        <v>446120</v>
      </c>
      <c r="C3" s="66">
        <v>10.5</v>
      </c>
      <c r="D3" s="66">
        <v>96.6</v>
      </c>
      <c r="E3" s="66">
        <v>3.4</v>
      </c>
      <c r="F3" s="22"/>
    </row>
    <row r="4" spans="1:6" ht="15" customHeight="1" x14ac:dyDescent="0.3">
      <c r="A4" s="53" t="s">
        <v>96</v>
      </c>
      <c r="B4" s="56">
        <v>360307</v>
      </c>
      <c r="C4" s="66">
        <v>9</v>
      </c>
      <c r="D4" s="66">
        <v>97.5</v>
      </c>
      <c r="E4" s="66">
        <v>2.5</v>
      </c>
      <c r="F4" s="21"/>
    </row>
    <row r="5" spans="1:6" ht="15" customHeight="1" x14ac:dyDescent="0.3">
      <c r="A5" s="36" t="s">
        <v>97</v>
      </c>
      <c r="B5" s="56">
        <v>220223</v>
      </c>
      <c r="C5" s="66">
        <v>20</v>
      </c>
      <c r="D5" s="66">
        <v>78.599999999999994</v>
      </c>
      <c r="E5" s="66">
        <v>21.4</v>
      </c>
      <c r="F5" s="21"/>
    </row>
    <row r="6" spans="1:6" ht="15" customHeight="1" x14ac:dyDescent="0.3">
      <c r="A6" s="36" t="s">
        <v>104</v>
      </c>
      <c r="B6" s="56">
        <v>215761</v>
      </c>
      <c r="C6" s="66">
        <v>8.8000000000000007</v>
      </c>
      <c r="D6" s="66">
        <v>97.2</v>
      </c>
      <c r="E6" s="66">
        <v>2.8</v>
      </c>
      <c r="F6" s="21"/>
    </row>
    <row r="7" spans="1:6" ht="15" customHeight="1" x14ac:dyDescent="0.3">
      <c r="A7" s="36" t="s">
        <v>103</v>
      </c>
      <c r="B7" s="56">
        <v>213293</v>
      </c>
      <c r="C7" s="66">
        <v>6</v>
      </c>
      <c r="D7" s="66">
        <v>98.9</v>
      </c>
      <c r="E7" s="66">
        <v>1.1000000000000001</v>
      </c>
      <c r="F7" s="21"/>
    </row>
    <row r="8" spans="1:6" ht="15" customHeight="1" x14ac:dyDescent="0.3">
      <c r="A8" s="36" t="s">
        <v>98</v>
      </c>
      <c r="B8" s="56">
        <v>178251</v>
      </c>
      <c r="C8" s="66">
        <v>12.6</v>
      </c>
      <c r="D8" s="66">
        <v>88.6</v>
      </c>
      <c r="E8" s="66">
        <v>11.4</v>
      </c>
      <c r="F8" s="25" t="s">
        <v>46</v>
      </c>
    </row>
    <row r="9" spans="1:6" ht="15" customHeight="1" x14ac:dyDescent="0.3">
      <c r="A9" s="36" t="s">
        <v>99</v>
      </c>
      <c r="B9" s="56">
        <v>154290</v>
      </c>
      <c r="C9" s="66">
        <v>5.7</v>
      </c>
      <c r="D9" s="66">
        <v>99.7</v>
      </c>
      <c r="E9" s="66">
        <v>0.3</v>
      </c>
      <c r="F9" s="21"/>
    </row>
    <row r="10" spans="1:6" ht="15" customHeight="1" x14ac:dyDescent="0.3">
      <c r="A10" s="36" t="s">
        <v>100</v>
      </c>
      <c r="B10" s="56">
        <v>152845</v>
      </c>
      <c r="C10" s="66">
        <v>9.9</v>
      </c>
      <c r="D10" s="66">
        <v>91.3</v>
      </c>
      <c r="E10" s="66">
        <v>8.6999999999999993</v>
      </c>
      <c r="F10" s="67" t="s">
        <v>48</v>
      </c>
    </row>
    <row r="11" spans="1:6" ht="15" customHeight="1" x14ac:dyDescent="0.3">
      <c r="A11" s="36" t="s">
        <v>101</v>
      </c>
      <c r="B11" s="56">
        <v>147134</v>
      </c>
      <c r="C11" s="66">
        <v>4.2</v>
      </c>
      <c r="D11" s="66">
        <v>98</v>
      </c>
      <c r="E11" s="66">
        <v>2</v>
      </c>
      <c r="F11" s="21"/>
    </row>
    <row r="12" spans="1:6" ht="15" customHeight="1" x14ac:dyDescent="0.3">
      <c r="A12" s="36" t="s">
        <v>102</v>
      </c>
      <c r="B12" s="56">
        <v>126927</v>
      </c>
      <c r="C12" s="66">
        <v>7.5</v>
      </c>
      <c r="D12" s="66">
        <v>98.6</v>
      </c>
      <c r="E12" s="66">
        <v>1.4</v>
      </c>
      <c r="F12" s="23"/>
    </row>
    <row r="13" spans="1:6" customFormat="1" ht="17.25" customHeight="1" x14ac:dyDescent="0.3">
      <c r="A13" s="4" t="s">
        <v>4</v>
      </c>
      <c r="B13" s="14"/>
      <c r="C13" s="15"/>
      <c r="D13" s="15"/>
      <c r="E13" s="15"/>
    </row>
    <row r="14" spans="1:6" s="16" customFormat="1" ht="12" customHeight="1" x14ac:dyDescent="0.3">
      <c r="A14" s="27" t="s">
        <v>44</v>
      </c>
      <c r="B14" s="27"/>
      <c r="C14" s="27"/>
      <c r="D14" s="27"/>
      <c r="E14" s="27"/>
    </row>
    <row r="15" spans="1:6" s="16" customFormat="1" ht="12" customHeight="1" x14ac:dyDescent="0.3">
      <c r="A15" s="27" t="s">
        <v>25</v>
      </c>
      <c r="B15" s="27"/>
      <c r="C15" s="27"/>
      <c r="D15" s="27"/>
      <c r="E15" s="27"/>
    </row>
    <row r="16" spans="1:6" s="16" customFormat="1" ht="24" customHeight="1" x14ac:dyDescent="0.3">
      <c r="A16" s="86" t="s">
        <v>106</v>
      </c>
      <c r="B16" s="86"/>
      <c r="C16" s="86"/>
      <c r="D16" s="86"/>
      <c r="E16" s="86"/>
      <c r="F16" s="28"/>
    </row>
    <row r="17" spans="1:5" s="16" customFormat="1" ht="12" customHeight="1" x14ac:dyDescent="0.3">
      <c r="A17" s="30" t="s">
        <v>6</v>
      </c>
      <c r="B17" s="38"/>
      <c r="C17" s="39"/>
      <c r="D17" s="39"/>
      <c r="E17" s="39"/>
    </row>
    <row r="18" spans="1:5" s="20" customFormat="1" ht="12" customHeight="1" x14ac:dyDescent="0.3">
      <c r="A18" s="27" t="s">
        <v>87</v>
      </c>
      <c r="B18" s="27"/>
      <c r="C18" s="27"/>
      <c r="D18" s="27"/>
      <c r="E18" s="27"/>
    </row>
    <row r="19" spans="1:5" ht="30" customHeight="1" x14ac:dyDescent="0.3">
      <c r="A19" s="84" t="s">
        <v>54</v>
      </c>
      <c r="B19" s="84"/>
      <c r="C19" s="84"/>
      <c r="D19"/>
      <c r="E19"/>
    </row>
  </sheetData>
  <mergeCells count="3">
    <mergeCell ref="A19:C19"/>
    <mergeCell ref="A1:E1"/>
    <mergeCell ref="A16:E16"/>
  </mergeCells>
  <hyperlinks>
    <hyperlink ref="A19" location="'Table of contents'!A1" display="End of worksheet (back to Table of contents)" xr:uid="{4E64C42A-4728-49A9-8CB3-FA8B50B62A46}"/>
  </hyperlinks>
  <pageMargins left="0.7" right="0.7" top="0.75" bottom="0.75" header="0.3" footer="0.3"/>
  <pageSetup scale="76" fitToHeight="0" orientation="landscape" r:id="rId1"/>
  <headerFooter>
    <oddFooter>&amp;L&amp;9© 2025 CIHI&amp;R&amp;9&amp;P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
  <sheetViews>
    <sheetView showGridLines="0" zoomScaleNormal="100" zoomScaleSheetLayoutView="100" workbookViewId="0"/>
  </sheetViews>
  <sheetFormatPr defaultColWidth="0" defaultRowHeight="14" zeroHeight="1" x14ac:dyDescent="0.3"/>
  <cols>
    <col min="1" max="1" width="100.58203125" customWidth="1"/>
    <col min="2" max="4" width="8.58203125" hidden="1" customWidth="1"/>
    <col min="5" max="5" width="25.08203125" hidden="1" customWidth="1"/>
    <col min="6" max="6" width="8.58203125" hidden="1" customWidth="1"/>
    <col min="7" max="7" width="11.58203125" hidden="1" customWidth="1"/>
    <col min="8" max="24" width="0" hidden="1" customWidth="1"/>
    <col min="25" max="16384" width="8.58203125" hidden="1"/>
  </cols>
  <sheetData>
    <row r="1" spans="1:1" s="8" customFormat="1" ht="50.15" customHeight="1" x14ac:dyDescent="0.55000000000000004">
      <c r="A1" s="9" t="s">
        <v>51</v>
      </c>
    </row>
    <row r="2" spans="1:1" ht="114" customHeight="1" x14ac:dyDescent="0.3">
      <c r="A2" s="43" t="s">
        <v>83</v>
      </c>
    </row>
    <row r="3" spans="1:1" s="5" customFormat="1" ht="59.4" customHeight="1" x14ac:dyDescent="0.3">
      <c r="A3" s="43" t="s">
        <v>107</v>
      </c>
    </row>
    <row r="4" spans="1:1" ht="45" customHeight="1" x14ac:dyDescent="0.3">
      <c r="A4" s="43" t="s">
        <v>84</v>
      </c>
    </row>
    <row r="5" spans="1:1" x14ac:dyDescent="0.3">
      <c r="A5" s="55" t="s">
        <v>54</v>
      </c>
    </row>
  </sheetData>
  <hyperlinks>
    <hyperlink ref="A5" location="'Table of contents'!A1" display="End of worksheet (back to Table of contents)" xr:uid="{0B3E2A19-3659-4906-909D-8406C7C5B6D8}"/>
  </hyperlinks>
  <pageMargins left="0.7" right="0.7" top="0.75" bottom="0.75" header="0.3" footer="0.3"/>
  <pageSetup fitToHeight="0" orientation="landscape" r:id="rId1"/>
  <headerFooter>
    <oddFooter>&amp;L&amp;9© 2025 CIHI&amp;R&amp;9&amp;P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7DDA-F46A-41CA-98CA-49BB2F0BE646}">
  <sheetPr>
    <pageSetUpPr fitToPage="1"/>
  </sheetPr>
  <dimension ref="A1:A13"/>
  <sheetViews>
    <sheetView showGridLines="0" zoomScaleNormal="100" workbookViewId="0"/>
  </sheetViews>
  <sheetFormatPr defaultColWidth="0" defaultRowHeight="14" zeroHeight="1" x14ac:dyDescent="0.3"/>
  <cols>
    <col min="1" max="1" width="100.58203125" customWidth="1"/>
    <col min="2" max="16384" width="8.58203125" hidden="1"/>
  </cols>
  <sheetData>
    <row r="1" spans="1:1" ht="50" customHeight="1" x14ac:dyDescent="0.3">
      <c r="A1" s="9" t="s">
        <v>52</v>
      </c>
    </row>
    <row r="2" spans="1:1" ht="40" customHeight="1" x14ac:dyDescent="0.3">
      <c r="A2" s="46" t="s">
        <v>11</v>
      </c>
    </row>
    <row r="3" spans="1:1" x14ac:dyDescent="0.3">
      <c r="A3" s="26" t="s">
        <v>67</v>
      </c>
    </row>
    <row r="4" spans="1:1" ht="30" customHeight="1" x14ac:dyDescent="0.3">
      <c r="A4" s="47" t="s">
        <v>49</v>
      </c>
    </row>
    <row r="5" spans="1:1" x14ac:dyDescent="0.3">
      <c r="A5" s="26" t="s">
        <v>68</v>
      </c>
    </row>
    <row r="6" spans="1:1" ht="30" customHeight="1" x14ac:dyDescent="0.3">
      <c r="A6" s="48" t="s">
        <v>50</v>
      </c>
    </row>
    <row r="7" spans="1:1" x14ac:dyDescent="0.3">
      <c r="A7" s="49" t="s">
        <v>14</v>
      </c>
    </row>
    <row r="8" spans="1:1" x14ac:dyDescent="0.3">
      <c r="A8" s="3" t="s">
        <v>38</v>
      </c>
    </row>
    <row r="9" spans="1:1" ht="15" customHeight="1" x14ac:dyDescent="0.3">
      <c r="A9" s="3" t="s">
        <v>37</v>
      </c>
    </row>
    <row r="10" spans="1:1" ht="15" customHeight="1" x14ac:dyDescent="0.3">
      <c r="A10" s="3" t="s">
        <v>39</v>
      </c>
    </row>
    <row r="11" spans="1:1" ht="15" customHeight="1" x14ac:dyDescent="0.3">
      <c r="A11" s="3" t="s">
        <v>45</v>
      </c>
    </row>
    <row r="12" spans="1:1" ht="33" customHeight="1" x14ac:dyDescent="0.3">
      <c r="A12" s="3" t="s">
        <v>40</v>
      </c>
    </row>
    <row r="13" spans="1:1" ht="15" customHeight="1" x14ac:dyDescent="0.3">
      <c r="A13" s="50" t="s">
        <v>69</v>
      </c>
    </row>
  </sheetData>
  <hyperlinks>
    <hyperlink ref="A6" r:id="rId1" xr:uid="{677C0F04-DBF3-4A89-B375-01BF16AE40BA}"/>
    <hyperlink ref="A13" location="'Table of contents'!A1" display="End of worksheet (back to Table of contents)" xr:uid="{66900EE9-AF1C-42CC-A831-99D2FBC0811A}"/>
    <hyperlink ref="A4" r:id="rId2" xr:uid="{ADDEA4A5-E727-47CA-9974-4B8E5B4B8524}"/>
    <hyperlink ref="A8" r:id="rId3" display="LinkedIn: linkedin.com/company/canadian-institute-for-health-information" xr:uid="{F1631ACF-9B79-423A-AC52-539D19E5A5AB}"/>
    <hyperlink ref="A9" r:id="rId4" display="http://www.facebook.com/CIHI.ICIS" xr:uid="{45CA6C2D-9674-43AB-BDEC-D68AA6676224}"/>
    <hyperlink ref="A10" r:id="rId5" display="http://www.instagram.com/cihi_icis/" xr:uid="{A4C49714-0BEB-4B62-BDD7-75B4A1CD44D6}"/>
    <hyperlink ref="A11" r:id="rId6" display="https://twitter.com/cihi_icis" xr:uid="{C1EB1856-A641-49E7-A0D6-CC5A61926F83}"/>
    <hyperlink ref="A12" r:id="rId7" xr:uid="{0C55FD7C-1FBE-486F-AD1D-5ACAD0E498C1}"/>
  </hyperlinks>
  <pageMargins left="0.7" right="0.7" top="0.75" bottom="0.75" header="0.3" footer="0.3"/>
  <pageSetup fitToHeight="0" orientation="landscape" r:id="rId8"/>
  <headerFooter>
    <oddFooter>&amp;L&amp;9© 2025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Instructions</vt:lpstr>
      <vt:lpstr>Table of contents</vt:lpstr>
      <vt:lpstr>Table 1</vt:lpstr>
      <vt:lpstr>Table 2</vt:lpstr>
      <vt:lpstr>Sheet1</vt:lpstr>
      <vt:lpstr>Table 3</vt:lpstr>
      <vt:lpstr>Methodology notes</vt:lpstr>
      <vt:lpstr>Contact information</vt:lpstr>
      <vt:lpstr>Title_Table1..K12</vt:lpstr>
      <vt:lpstr>Title_Table2..H362</vt:lpstr>
      <vt:lpstr>Title_Table3..E12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and Lengths of Stay by Province/Territory, 2024–2025 (Q1 to Q4)</dc:title>
  <dc:creator/>
  <cp:keywords/>
  <cp:lastModifiedBy/>
  <dcterms:created xsi:type="dcterms:W3CDTF">2025-08-06T18:28:31Z</dcterms:created>
  <dcterms:modified xsi:type="dcterms:W3CDTF">2026-03-04T02:27:53Z</dcterms:modified>
</cp:coreProperties>
</file>